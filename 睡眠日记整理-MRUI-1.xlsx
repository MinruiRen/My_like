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个人\学习\毕设干预\MRUI\"/>
    </mc:Choice>
  </mc:AlternateContent>
  <xr:revisionPtr revIDLastSave="0" documentId="13_ncr:1_{8F065016-940E-4FF9-9720-E4773733D152}" xr6:coauthVersionLast="47" xr6:coauthVersionMax="47" xr10:uidLastSave="{00000000-0000-0000-0000-000000000000}"/>
  <bookViews>
    <workbookView xWindow="-108" yWindow="-108" windowWidth="23256" windowHeight="12456" xr2:uid="{C68EFDB5-8031-4EDC-B332-81EC0C140363}"/>
  </bookViews>
  <sheets>
    <sheet name="Sheet1" sheetId="1" r:id="rId1"/>
  </sheets>
  <definedNames>
    <definedName name="_xlnm.Print_Titles" localSheetId="0">Sheet1!$A:$B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62" i="1" l="1"/>
  <c r="BN62" i="1"/>
  <c r="BO62" i="1" s="1"/>
  <c r="BP62" i="1"/>
  <c r="BR62" i="1"/>
  <c r="BM63" i="1"/>
  <c r="BN63" i="1"/>
  <c r="BO63" i="1" s="1"/>
  <c r="BP63" i="1"/>
  <c r="BR63" i="1"/>
  <c r="BM64" i="1"/>
  <c r="BN64" i="1"/>
  <c r="BO64" i="1" s="1"/>
  <c r="BP64" i="1"/>
  <c r="BR64" i="1"/>
  <c r="BM65" i="1"/>
  <c r="BN65" i="1"/>
  <c r="BO65" i="1" s="1"/>
  <c r="BP65" i="1"/>
  <c r="BR65" i="1"/>
  <c r="BM66" i="1"/>
  <c r="BN66" i="1"/>
  <c r="BO66" i="1" s="1"/>
  <c r="BP66" i="1"/>
  <c r="BR66" i="1"/>
  <c r="BM67" i="1"/>
  <c r="BN67" i="1"/>
  <c r="BO67" i="1" s="1"/>
  <c r="BP67" i="1"/>
  <c r="BR67" i="1"/>
  <c r="BP69" i="1"/>
  <c r="BP68" i="1"/>
  <c r="BP61" i="1"/>
  <c r="BP60" i="1"/>
  <c r="BP59" i="1"/>
  <c r="BP58" i="1"/>
  <c r="BP57" i="1"/>
  <c r="BP56" i="1"/>
  <c r="BQ67" i="1" l="1"/>
  <c r="BQ64" i="1"/>
  <c r="BQ65" i="1"/>
  <c r="BQ66" i="1"/>
  <c r="BQ63" i="1"/>
  <c r="BQ62" i="1"/>
  <c r="BP54" i="1"/>
  <c r="BP53" i="1"/>
  <c r="BP52" i="1"/>
  <c r="BP51" i="1"/>
  <c r="BP50" i="1"/>
  <c r="BP49" i="1"/>
  <c r="BP48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1" i="1"/>
  <c r="BP30" i="1"/>
  <c r="BP29" i="1"/>
  <c r="BP28" i="1"/>
  <c r="BP27" i="1"/>
  <c r="BP26" i="1"/>
  <c r="BP25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5" i="1"/>
  <c r="BP6" i="1"/>
  <c r="BP7" i="1"/>
  <c r="BP8" i="1"/>
  <c r="BP9" i="1"/>
  <c r="BP4" i="1"/>
  <c r="BM51" i="1"/>
  <c r="BN51" i="1"/>
  <c r="BO51" i="1" s="1"/>
  <c r="BR51" i="1"/>
  <c r="BM52" i="1"/>
  <c r="BN52" i="1"/>
  <c r="BO52" i="1" s="1"/>
  <c r="BR52" i="1"/>
  <c r="BM53" i="1"/>
  <c r="BN53" i="1"/>
  <c r="BR53" i="1"/>
  <c r="BM54" i="1"/>
  <c r="BN54" i="1"/>
  <c r="BR54" i="1"/>
  <c r="BR38" i="1"/>
  <c r="BN38" i="1"/>
  <c r="BM38" i="1"/>
  <c r="BR37" i="1"/>
  <c r="BN37" i="1"/>
  <c r="BM37" i="1"/>
  <c r="BR36" i="1"/>
  <c r="BN36" i="1"/>
  <c r="BM36" i="1"/>
  <c r="BR35" i="1"/>
  <c r="BN35" i="1"/>
  <c r="BO35" i="1" s="1"/>
  <c r="BM35" i="1"/>
  <c r="BR34" i="1"/>
  <c r="BN34" i="1"/>
  <c r="BO34" i="1" s="1"/>
  <c r="BM34" i="1"/>
  <c r="BR33" i="1"/>
  <c r="BN33" i="1"/>
  <c r="BO33" i="1" s="1"/>
  <c r="BM33" i="1"/>
  <c r="BR31" i="1"/>
  <c r="BN31" i="1"/>
  <c r="BO31" i="1" s="1"/>
  <c r="BM31" i="1"/>
  <c r="BR30" i="1"/>
  <c r="BN30" i="1"/>
  <c r="BM30" i="1"/>
  <c r="BR29" i="1"/>
  <c r="BN29" i="1"/>
  <c r="BM29" i="1"/>
  <c r="BR28" i="1"/>
  <c r="BN28" i="1"/>
  <c r="BM28" i="1"/>
  <c r="BR27" i="1"/>
  <c r="BN27" i="1"/>
  <c r="BM27" i="1"/>
  <c r="BR26" i="1"/>
  <c r="BN26" i="1"/>
  <c r="BO26" i="1" s="1"/>
  <c r="BM26" i="1"/>
  <c r="BR25" i="1"/>
  <c r="BN25" i="1"/>
  <c r="BO25" i="1" s="1"/>
  <c r="BM25" i="1"/>
  <c r="BN12" i="1"/>
  <c r="BO12" i="1" s="1"/>
  <c r="BR12" i="1"/>
  <c r="BN13" i="1"/>
  <c r="BO13" i="1" s="1"/>
  <c r="BR13" i="1"/>
  <c r="BN14" i="1"/>
  <c r="BO14" i="1" s="1"/>
  <c r="BR14" i="1"/>
  <c r="BN15" i="1"/>
  <c r="BO15" i="1" s="1"/>
  <c r="BR15" i="1"/>
  <c r="BN16" i="1"/>
  <c r="BO16" i="1" s="1"/>
  <c r="BR16" i="1"/>
  <c r="BN17" i="1"/>
  <c r="BO17" i="1" s="1"/>
  <c r="BR17" i="1"/>
  <c r="BN18" i="1"/>
  <c r="BO18" i="1" s="1"/>
  <c r="BR18" i="1"/>
  <c r="BN19" i="1"/>
  <c r="BO19" i="1" s="1"/>
  <c r="BR19" i="1"/>
  <c r="BN20" i="1"/>
  <c r="BO20" i="1" s="1"/>
  <c r="BR20" i="1"/>
  <c r="BN21" i="1"/>
  <c r="BR21" i="1"/>
  <c r="BN22" i="1"/>
  <c r="BR22" i="1"/>
  <c r="BN23" i="1"/>
  <c r="BO23" i="1" s="1"/>
  <c r="BR23" i="1"/>
  <c r="BN39" i="1"/>
  <c r="BO39" i="1" s="1"/>
  <c r="BR39" i="1"/>
  <c r="BN40" i="1"/>
  <c r="BO40" i="1" s="1"/>
  <c r="BR40" i="1"/>
  <c r="BN41" i="1"/>
  <c r="BO41" i="1" s="1"/>
  <c r="BR41" i="1"/>
  <c r="BN42" i="1"/>
  <c r="BO42" i="1" s="1"/>
  <c r="BR42" i="1"/>
  <c r="BN43" i="1"/>
  <c r="BO43" i="1" s="1"/>
  <c r="BR43" i="1"/>
  <c r="BN44" i="1"/>
  <c r="BO44" i="1" s="1"/>
  <c r="BR44" i="1"/>
  <c r="BN45" i="1"/>
  <c r="BO45" i="1" s="1"/>
  <c r="BR45" i="1"/>
  <c r="BN46" i="1"/>
  <c r="BO46" i="1" s="1"/>
  <c r="BR46" i="1"/>
  <c r="BN48" i="1"/>
  <c r="BO48" i="1" s="1"/>
  <c r="BR48" i="1"/>
  <c r="BN49" i="1"/>
  <c r="BO49" i="1" s="1"/>
  <c r="BR49" i="1"/>
  <c r="BN50" i="1"/>
  <c r="BO50" i="1" s="1"/>
  <c r="BR50" i="1"/>
  <c r="BN56" i="1"/>
  <c r="BR56" i="1"/>
  <c r="BN57" i="1"/>
  <c r="BO57" i="1" s="1"/>
  <c r="BR57" i="1"/>
  <c r="BN58" i="1"/>
  <c r="BO58" i="1" s="1"/>
  <c r="BR58" i="1"/>
  <c r="BN59" i="1"/>
  <c r="BR59" i="1"/>
  <c r="BN60" i="1"/>
  <c r="BO60" i="1" s="1"/>
  <c r="BR60" i="1"/>
  <c r="BN61" i="1"/>
  <c r="BO61" i="1" s="1"/>
  <c r="BR61" i="1"/>
  <c r="BN68" i="1"/>
  <c r="BO68" i="1" s="1"/>
  <c r="BR68" i="1"/>
  <c r="BN69" i="1"/>
  <c r="BO69" i="1" s="1"/>
  <c r="BR69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39" i="1"/>
  <c r="BM40" i="1"/>
  <c r="BM41" i="1"/>
  <c r="BM42" i="1"/>
  <c r="BM43" i="1"/>
  <c r="BM44" i="1"/>
  <c r="BM45" i="1"/>
  <c r="BM46" i="1"/>
  <c r="BM48" i="1"/>
  <c r="BM49" i="1"/>
  <c r="BM50" i="1"/>
  <c r="BM56" i="1"/>
  <c r="BM57" i="1"/>
  <c r="BM58" i="1"/>
  <c r="BM59" i="1"/>
  <c r="BM60" i="1"/>
  <c r="BM61" i="1"/>
  <c r="BM68" i="1"/>
  <c r="BM69" i="1"/>
  <c r="BQ53" i="1" l="1"/>
  <c r="BQ54" i="1"/>
  <c r="BO54" i="1"/>
  <c r="BO53" i="1"/>
  <c r="BQ52" i="1"/>
  <c r="BQ51" i="1"/>
  <c r="BQ30" i="1"/>
  <c r="BQ28" i="1"/>
  <c r="BQ27" i="1"/>
  <c r="BO27" i="1"/>
  <c r="BO28" i="1"/>
  <c r="BQ25" i="1"/>
  <c r="BQ29" i="1"/>
  <c r="BQ35" i="1"/>
  <c r="BQ36" i="1"/>
  <c r="BQ37" i="1"/>
  <c r="BQ38" i="1"/>
  <c r="BO36" i="1"/>
  <c r="BQ33" i="1"/>
  <c r="BQ26" i="1"/>
  <c r="BO29" i="1"/>
  <c r="BQ34" i="1"/>
  <c r="BO37" i="1"/>
  <c r="BQ31" i="1"/>
  <c r="BO30" i="1"/>
  <c r="BO38" i="1"/>
  <c r="BQ57" i="1"/>
  <c r="BQ59" i="1"/>
  <c r="BQ40" i="1"/>
  <c r="BQ45" i="1"/>
  <c r="BQ50" i="1"/>
  <c r="BQ39" i="1"/>
  <c r="BO59" i="1"/>
  <c r="BQ68" i="1"/>
  <c r="BQ58" i="1"/>
  <c r="BQ48" i="1"/>
  <c r="BQ69" i="1"/>
  <c r="BQ41" i="1"/>
  <c r="BQ56" i="1"/>
  <c r="BQ22" i="1"/>
  <c r="BO22" i="1"/>
  <c r="BQ21" i="1"/>
  <c r="BQ23" i="1"/>
  <c r="BO21" i="1"/>
  <c r="BQ20" i="1"/>
  <c r="BQ18" i="1"/>
  <c r="BQ17" i="1"/>
  <c r="BQ16" i="1"/>
  <c r="BQ14" i="1"/>
  <c r="BO56" i="1"/>
  <c r="BQ44" i="1"/>
  <c r="BQ61" i="1"/>
  <c r="BQ43" i="1"/>
  <c r="BQ46" i="1"/>
  <c r="BQ13" i="1"/>
  <c r="BQ19" i="1"/>
  <c r="BQ60" i="1"/>
  <c r="BQ42" i="1"/>
  <c r="BQ12" i="1"/>
  <c r="BQ49" i="1"/>
  <c r="BQ15" i="1"/>
  <c r="B69" i="1"/>
  <c r="B68" i="1"/>
  <c r="B67" i="1"/>
  <c r="B66" i="1"/>
  <c r="B65" i="1"/>
  <c r="B64" i="1"/>
  <c r="B58" i="1"/>
  <c r="B59" i="1"/>
  <c r="B60" i="1"/>
  <c r="B61" i="1"/>
  <c r="B62" i="1"/>
  <c r="B63" i="1"/>
  <c r="B57" i="1"/>
  <c r="B51" i="1"/>
  <c r="B52" i="1"/>
  <c r="B53" i="1"/>
  <c r="B54" i="1"/>
  <c r="B56" i="1"/>
  <c r="B50" i="1"/>
  <c r="B49" i="1"/>
  <c r="B42" i="1"/>
  <c r="B43" i="1"/>
  <c r="B44" i="1"/>
  <c r="B45" i="1"/>
  <c r="B46" i="1"/>
  <c r="B48" i="1"/>
  <c r="BM4" i="1"/>
  <c r="B40" i="1"/>
  <c r="B41" i="1"/>
  <c r="B31" i="1"/>
  <c r="B33" i="1"/>
  <c r="B34" i="1"/>
  <c r="B35" i="1"/>
  <c r="B36" i="1"/>
  <c r="B37" i="1"/>
  <c r="B38" i="1"/>
  <c r="B39" i="1"/>
  <c r="B22" i="1"/>
  <c r="B25" i="1"/>
  <c r="B26" i="1"/>
  <c r="B27" i="1"/>
  <c r="B28" i="1"/>
  <c r="B29" i="1"/>
  <c r="B30" i="1"/>
  <c r="BR5" i="1"/>
  <c r="BR6" i="1"/>
  <c r="BR7" i="1"/>
  <c r="BR8" i="1"/>
  <c r="BR9" i="1"/>
  <c r="BR11" i="1"/>
  <c r="BR4" i="1"/>
  <c r="BN5" i="1"/>
  <c r="BN6" i="1"/>
  <c r="BO6" i="1" s="1"/>
  <c r="BN7" i="1"/>
  <c r="BO7" i="1" s="1"/>
  <c r="BN8" i="1"/>
  <c r="BO8" i="1" s="1"/>
  <c r="BN9" i="1"/>
  <c r="BO9" i="1" s="1"/>
  <c r="BN11" i="1"/>
  <c r="BO11" i="1" s="1"/>
  <c r="BN4" i="1"/>
  <c r="BO4" i="1" s="1"/>
  <c r="BM5" i="1"/>
  <c r="BM6" i="1"/>
  <c r="BM7" i="1"/>
  <c r="BM8" i="1"/>
  <c r="BM9" i="1"/>
  <c r="BM11" i="1"/>
  <c r="B19" i="1"/>
  <c r="B20" i="1"/>
  <c r="B21" i="1"/>
  <c r="B23" i="1"/>
  <c r="B17" i="1"/>
  <c r="B18" i="1"/>
  <c r="B5" i="1"/>
  <c r="B6" i="1"/>
  <c r="B7" i="1"/>
  <c r="B8" i="1"/>
  <c r="B9" i="1"/>
  <c r="B11" i="1"/>
  <c r="B12" i="1"/>
  <c r="B13" i="1"/>
  <c r="B14" i="1"/>
  <c r="B15" i="1"/>
  <c r="B16" i="1"/>
  <c r="B4" i="1"/>
  <c r="BQ5" i="1" l="1"/>
  <c r="BQ4" i="1"/>
  <c r="BO5" i="1"/>
  <c r="BQ6" i="1"/>
  <c r="BQ11" i="1"/>
  <c r="BQ9" i="1"/>
  <c r="BQ8" i="1"/>
  <c r="BQ7" i="1"/>
</calcChain>
</file>

<file path=xl/sharedStrings.xml><?xml version="1.0" encoding="utf-8"?>
<sst xmlns="http://schemas.openxmlformats.org/spreadsheetml/2006/main" count="50" uniqueCount="48">
  <si>
    <t>当天</t>
    <phoneticPr fontId="2" type="noConversion"/>
  </si>
  <si>
    <t>第二天</t>
    <phoneticPr fontId="2" type="noConversion"/>
  </si>
  <si>
    <t>星期</t>
    <phoneticPr fontId="2" type="noConversion"/>
  </si>
  <si>
    <t>电子产品</t>
    <phoneticPr fontId="2" type="noConversion"/>
  </si>
  <si>
    <t>物质</t>
    <phoneticPr fontId="2" type="noConversion"/>
  </si>
  <si>
    <t>其他</t>
    <phoneticPr fontId="2" type="noConversion"/>
  </si>
  <si>
    <t>TST (min)</t>
    <phoneticPr fontId="2" type="noConversion"/>
  </si>
  <si>
    <t>TST (h)</t>
    <phoneticPr fontId="2" type="noConversion"/>
  </si>
  <si>
    <t>TIB (min)</t>
    <phoneticPr fontId="2" type="noConversion"/>
  </si>
  <si>
    <t>SE</t>
    <phoneticPr fontId="2" type="noConversion"/>
  </si>
  <si>
    <t>夜间醒来时间</t>
    <phoneticPr fontId="2" type="noConversion"/>
  </si>
  <si>
    <t>上床时刻</t>
    <phoneticPr fontId="2" type="noConversion"/>
  </si>
  <si>
    <t>熄灯时刻</t>
    <phoneticPr fontId="2" type="noConversion"/>
  </si>
  <si>
    <t>醒来时刻</t>
    <phoneticPr fontId="2" type="noConversion"/>
  </si>
  <si>
    <t>起床时刻</t>
    <phoneticPr fontId="2" type="noConversion"/>
  </si>
  <si>
    <t>夜间醒来次数</t>
    <phoneticPr fontId="2" type="noConversion"/>
  </si>
  <si>
    <t>SOL (min)</t>
    <phoneticPr fontId="2" type="noConversion"/>
  </si>
  <si>
    <t>熄灯后入睡时间</t>
    <phoneticPr fontId="2" type="noConversion"/>
  </si>
  <si>
    <t>WASO (min)</t>
    <phoneticPr fontId="2" type="noConversion"/>
  </si>
  <si>
    <t>事件</t>
    <phoneticPr fontId="2" type="noConversion"/>
  </si>
  <si>
    <t>睡眠日期（填写日期-1）</t>
    <phoneticPr fontId="2" type="noConversion"/>
  </si>
  <si>
    <t>白天小睡30分钟</t>
    <phoneticPr fontId="2" type="noConversion"/>
  </si>
  <si>
    <t>夜醒80min</t>
    <phoneticPr fontId="2" type="noConversion"/>
  </si>
  <si>
    <t>夜醒30min</t>
    <phoneticPr fontId="2" type="noConversion"/>
  </si>
  <si>
    <t>夜醒65min</t>
    <phoneticPr fontId="2" type="noConversion"/>
  </si>
  <si>
    <t>夜醒60min</t>
    <phoneticPr fontId="2" type="noConversion"/>
  </si>
  <si>
    <t>生病</t>
    <phoneticPr fontId="2" type="noConversion"/>
  </si>
  <si>
    <t>白天远行，深夜才到家</t>
    <phoneticPr fontId="2" type="noConversion"/>
  </si>
  <si>
    <t>在火车上</t>
    <phoneticPr fontId="2" type="noConversion"/>
  </si>
  <si>
    <t>夜醒90min</t>
    <phoneticPr fontId="2" type="noConversion"/>
  </si>
  <si>
    <t>抹茶奶茶 8：00</t>
  </si>
  <si>
    <t>可乐 13：00</t>
  </si>
  <si>
    <t>可乐 21：00</t>
  </si>
  <si>
    <t>小睡5h</t>
    <phoneticPr fontId="2" type="noConversion"/>
  </si>
  <si>
    <t>白天小睡6分钟</t>
    <phoneticPr fontId="2" type="noConversion"/>
  </si>
  <si>
    <t>白天小睡20分钟</t>
    <phoneticPr fontId="2" type="noConversion"/>
  </si>
  <si>
    <t>10 ml 可乐 20：00</t>
    <phoneticPr fontId="2" type="noConversion"/>
  </si>
  <si>
    <t>睡眠质量自评</t>
    <phoneticPr fontId="2" type="noConversion"/>
  </si>
  <si>
    <t>白天小睡50分钟</t>
    <phoneticPr fontId="2" type="noConversion"/>
  </si>
  <si>
    <t>白天小睡60分钟</t>
    <phoneticPr fontId="2" type="noConversion"/>
  </si>
  <si>
    <t>外出旅行</t>
    <phoneticPr fontId="2" type="noConversion"/>
  </si>
  <si>
    <t>第1次会谈</t>
    <phoneticPr fontId="2" type="noConversion"/>
  </si>
  <si>
    <t>第2次会谈</t>
    <phoneticPr fontId="2" type="noConversion"/>
  </si>
  <si>
    <t>第3次会谈</t>
    <phoneticPr fontId="2" type="noConversion"/>
  </si>
  <si>
    <t>第4次会谈</t>
    <phoneticPr fontId="2" type="noConversion"/>
  </si>
  <si>
    <t>第5次会谈</t>
    <phoneticPr fontId="2" type="noConversion"/>
  </si>
  <si>
    <t>第6次会谈</t>
    <phoneticPr fontId="2" type="noConversion"/>
  </si>
  <si>
    <t>第7次会谈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</si>
</sst>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_ "/>
    <numFmt numFmtId="177" formatCode="#,##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FF00"/>
      <name val="等线"/>
      <family val="2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sz val="1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20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9" fontId="0" fillId="0" borderId="0" xfId="2" applyFont="1">
      <alignment vertical="center"/>
    </xf>
    <xf numFmtId="0" fontId="0" fillId="8" borderId="0" xfId="0" applyFill="1">
      <alignment vertical="center"/>
    </xf>
    <xf numFmtId="176" fontId="0" fillId="8" borderId="0" xfId="0" applyNumberFormat="1" applyFill="1">
      <alignment vertical="center"/>
    </xf>
    <xf numFmtId="177" fontId="0" fillId="8" borderId="0" xfId="1" applyNumberFormat="1" applyFont="1" applyFill="1">
      <alignment vertical="center"/>
    </xf>
    <xf numFmtId="9" fontId="0" fillId="8" borderId="0" xfId="2" applyFont="1" applyFill="1">
      <alignment vertical="center"/>
    </xf>
    <xf numFmtId="20" fontId="0" fillId="8" borderId="0" xfId="0" applyNumberFormat="1" applyFill="1">
      <alignment vertical="center"/>
    </xf>
    <xf numFmtId="0" fontId="0" fillId="0" borderId="0" xfId="0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6" fillId="10" borderId="0" xfId="0" applyFont="1" applyFill="1">
      <alignment vertical="center"/>
    </xf>
    <xf numFmtId="0" fontId="8" fillId="0" borderId="1" xfId="0" applyFont="1" applyBorder="1" applyAlignment="1">
      <alignment horizontal="center" vertical="center" wrapText="1"/>
    </xf>
    <xf numFmtId="58" fontId="0" fillId="9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58" fontId="0" fillId="8" borderId="0" xfId="0" applyNumberFormat="1" applyFill="1" applyAlignment="1">
      <alignment horizontal="center" vertical="center"/>
    </xf>
  </cellXfs>
  <cellStyles count="4">
    <cellStyle name="百分比" xfId="2" builtinId="5"/>
    <cellStyle name="常规" xfId="0" builtinId="0"/>
    <cellStyle name="常规 2" xfId="3" xr:uid="{3448C7DC-1D7D-4F4D-BA7D-5B92E988AD74}"/>
    <cellStyle name="千位分隔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2B5B-FF14-48FE-9911-DBDFD03C6721}">
  <sheetPr>
    <pageSetUpPr fitToPage="1"/>
  </sheetPr>
  <dimension ref="A1:CM70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0" sqref="A70:B70"/>
    </sheetView>
  </sheetViews>
  <sheetFormatPr defaultRowHeight="13.8" x14ac:dyDescent="0.25"/>
  <cols>
    <col min="1" max="1" width="10.44140625" bestFit="1" customWidth="1"/>
    <col min="2" max="2" width="5.5546875" bestFit="1" customWidth="1"/>
    <col min="3" max="64" width="1.33203125" customWidth="1"/>
    <col min="65" max="65" width="9.44140625" customWidth="1"/>
    <col min="70" max="70" width="9.109375" bestFit="1" customWidth="1"/>
    <col min="71" max="71" width="9.109375" customWidth="1"/>
    <col min="72" max="72" width="13.5546875" customWidth="1"/>
    <col min="77" max="77" width="10.21875" bestFit="1" customWidth="1"/>
    <col min="80" max="80" width="9.88671875" bestFit="1" customWidth="1"/>
    <col min="81" max="81" width="9.44140625" bestFit="1" customWidth="1"/>
    <col min="82" max="82" width="5.109375" customWidth="1"/>
  </cols>
  <sheetData>
    <row r="1" spans="1:82" x14ac:dyDescent="0.25">
      <c r="A1" s="27" t="s">
        <v>20</v>
      </c>
      <c r="C1" s="26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 t="s">
        <v>1</v>
      </c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3" t="s">
        <v>8</v>
      </c>
      <c r="BN1" s="23" t="s">
        <v>6</v>
      </c>
      <c r="BO1" s="23" t="s">
        <v>7</v>
      </c>
      <c r="BP1" s="23" t="s">
        <v>16</v>
      </c>
      <c r="BQ1" s="23" t="s">
        <v>9</v>
      </c>
      <c r="BR1" s="23" t="s">
        <v>18</v>
      </c>
      <c r="BS1" s="23" t="s">
        <v>37</v>
      </c>
      <c r="BT1" s="23" t="s">
        <v>19</v>
      </c>
      <c r="BU1" s="24" t="s">
        <v>3</v>
      </c>
      <c r="BV1" s="24" t="s">
        <v>4</v>
      </c>
      <c r="BW1" s="22" t="s">
        <v>11</v>
      </c>
      <c r="BX1" s="22" t="s">
        <v>12</v>
      </c>
      <c r="BY1" s="22" t="s">
        <v>17</v>
      </c>
      <c r="BZ1" s="22" t="s">
        <v>10</v>
      </c>
      <c r="CA1" s="22" t="s">
        <v>15</v>
      </c>
      <c r="CB1" s="22" t="s">
        <v>13</v>
      </c>
      <c r="CC1" s="22" t="s">
        <v>14</v>
      </c>
      <c r="CD1" s="20" t="s">
        <v>5</v>
      </c>
    </row>
    <row r="2" spans="1:82" ht="13.95" customHeight="1" x14ac:dyDescent="0.25">
      <c r="A2" s="27"/>
      <c r="B2" t="s">
        <v>2</v>
      </c>
      <c r="C2" s="25">
        <v>12</v>
      </c>
      <c r="D2" s="25"/>
      <c r="E2" s="25">
        <v>13</v>
      </c>
      <c r="F2" s="25"/>
      <c r="G2" s="25">
        <v>14</v>
      </c>
      <c r="H2" s="25"/>
      <c r="I2" s="25">
        <v>15</v>
      </c>
      <c r="J2" s="25"/>
      <c r="K2" s="25">
        <v>16</v>
      </c>
      <c r="L2" s="25"/>
      <c r="M2" s="25">
        <v>17</v>
      </c>
      <c r="N2" s="25"/>
      <c r="O2" s="25">
        <v>18</v>
      </c>
      <c r="P2" s="25"/>
      <c r="Q2" s="25">
        <v>19</v>
      </c>
      <c r="R2" s="25"/>
      <c r="S2" s="25">
        <v>20</v>
      </c>
      <c r="T2" s="25"/>
      <c r="U2" s="25">
        <v>21</v>
      </c>
      <c r="V2" s="25"/>
      <c r="W2" s="25">
        <v>22</v>
      </c>
      <c r="X2" s="25"/>
      <c r="Y2" s="25">
        <v>23</v>
      </c>
      <c r="Z2" s="25"/>
      <c r="AA2" s="25">
        <v>0</v>
      </c>
      <c r="AB2" s="25"/>
      <c r="AC2" s="25">
        <v>1</v>
      </c>
      <c r="AD2" s="25"/>
      <c r="AE2" s="25">
        <v>2</v>
      </c>
      <c r="AF2" s="25"/>
      <c r="AG2" s="25">
        <v>3</v>
      </c>
      <c r="AH2" s="25"/>
      <c r="AI2" s="25">
        <v>4</v>
      </c>
      <c r="AJ2" s="25"/>
      <c r="AK2" s="25">
        <v>5</v>
      </c>
      <c r="AL2" s="25"/>
      <c r="AM2" s="25">
        <v>6</v>
      </c>
      <c r="AN2" s="25"/>
      <c r="AO2" s="25">
        <v>7</v>
      </c>
      <c r="AP2" s="25"/>
      <c r="AQ2" s="25">
        <v>8</v>
      </c>
      <c r="AR2" s="25"/>
      <c r="AS2" s="25">
        <v>9</v>
      </c>
      <c r="AT2" s="25"/>
      <c r="AU2" s="25">
        <v>10</v>
      </c>
      <c r="AV2" s="25"/>
      <c r="AW2" s="25">
        <v>11</v>
      </c>
      <c r="AX2" s="25"/>
      <c r="AY2" s="25">
        <v>12</v>
      </c>
      <c r="AZ2" s="25"/>
      <c r="BA2" s="25">
        <v>13</v>
      </c>
      <c r="BB2" s="25"/>
      <c r="BC2" s="25">
        <v>14</v>
      </c>
      <c r="BD2" s="25"/>
      <c r="BE2" s="25">
        <v>15</v>
      </c>
      <c r="BF2" s="25"/>
      <c r="BG2" s="25">
        <v>16</v>
      </c>
      <c r="BH2" s="25"/>
      <c r="BI2" s="25">
        <v>17</v>
      </c>
      <c r="BJ2" s="25"/>
      <c r="BK2" s="25">
        <v>18</v>
      </c>
      <c r="BL2" s="25"/>
      <c r="BM2" s="23"/>
      <c r="BN2" s="23"/>
      <c r="BO2" s="23"/>
      <c r="BP2" s="23"/>
      <c r="BQ2" s="23"/>
      <c r="BR2" s="23"/>
      <c r="BS2" s="23"/>
      <c r="BT2" s="23"/>
      <c r="BU2" s="24"/>
      <c r="BV2" s="24"/>
      <c r="BW2" s="22"/>
      <c r="BX2" s="22"/>
      <c r="BY2" s="22"/>
      <c r="BZ2" s="22"/>
      <c r="CA2" s="22"/>
      <c r="CB2" s="22"/>
      <c r="CC2" s="22"/>
      <c r="CD2" s="20"/>
    </row>
    <row r="3" spans="1:82" ht="12" customHeight="1" x14ac:dyDescent="0.25">
      <c r="A3" s="28" t="s">
        <v>41</v>
      </c>
      <c r="B3" s="28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1"/>
      <c r="BP3" s="12"/>
      <c r="BQ3" s="13"/>
      <c r="BR3" s="10"/>
      <c r="BS3" s="10"/>
      <c r="BT3" s="10"/>
      <c r="BU3" s="10"/>
      <c r="BV3" s="16"/>
      <c r="BW3" s="14"/>
      <c r="BX3" s="14"/>
      <c r="BY3" s="10"/>
      <c r="BZ3" s="10"/>
      <c r="CA3" s="10"/>
      <c r="CB3" s="14"/>
      <c r="CC3" s="14"/>
      <c r="CD3" s="10"/>
    </row>
    <row r="4" spans="1:82" x14ac:dyDescent="0.25">
      <c r="A4" s="19">
        <v>45983</v>
      </c>
      <c r="B4" s="5">
        <f>WEEKDAY(A4-1)</f>
        <v>6</v>
      </c>
      <c r="U4" s="3"/>
      <c r="V4" s="3"/>
      <c r="W4" s="3"/>
      <c r="X4" s="3"/>
      <c r="Y4" s="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BM4">
        <f>HOUR(IF(CC4-BW4&gt;0,CC4-BW4,CC4-BW4+24))*60+MINUTE(IF(CC4-BW4&gt;0,CC4-BW4,CC4-BW4+24))</f>
        <v>680</v>
      </c>
      <c r="BN4">
        <f t="shared" ref="BN4:BN11" si="0">HOUR(IF(CB4-BX4&gt;0,CB4-BX4,CB4-BX4+24))*60+MINUTE(IF(CB4-BX4&gt;0,CB4-BX4,CB4-BX4+24))-BY4-BZ4</f>
        <v>478</v>
      </c>
      <c r="BO4" s="4">
        <f t="shared" ref="BO4:BO11" si="1">BN4/60</f>
        <v>7.9666666666666668</v>
      </c>
      <c r="BP4" s="8">
        <f>IF((BX4-BW4)&gt;=0,(HOUR(BX4-BW4)*60+MINUTE(BX4-BW4)),1440-(HOUR(BW4-BX4)*60+MINUTE(BW4-BX4)))+BY4</f>
        <v>162</v>
      </c>
      <c r="BQ4" s="9">
        <f>BN4/BM4</f>
        <v>0.70294117647058818</v>
      </c>
      <c r="BR4">
        <f>BZ4+HOUR(CC4-CB4)*60+MINUTE(CC4-CB4)</f>
        <v>40</v>
      </c>
      <c r="BS4">
        <v>4</v>
      </c>
      <c r="BU4">
        <v>48</v>
      </c>
      <c r="BV4" s="15"/>
      <c r="BW4" s="7">
        <v>0.875</v>
      </c>
      <c r="BX4" s="7">
        <v>0.95972222222222225</v>
      </c>
      <c r="BY4">
        <v>40</v>
      </c>
      <c r="BZ4">
        <v>20</v>
      </c>
      <c r="CA4">
        <v>2</v>
      </c>
      <c r="CB4" s="7">
        <v>0.33333333333333331</v>
      </c>
      <c r="CC4" s="7">
        <v>0.34722222222222221</v>
      </c>
    </row>
    <row r="5" spans="1:82" x14ac:dyDescent="0.25">
      <c r="A5" s="19">
        <v>45984</v>
      </c>
      <c r="B5" s="5">
        <f t="shared" ref="B5:B30" si="2">WEEKDAY(A5-1)</f>
        <v>7</v>
      </c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BM5">
        <f t="shared" ref="BM5:BM69" si="3">HOUR(IF(CC5-BW5&gt;0,CC5-BW5,CC5-BW5+24))*60+MINUTE(IF(CC5-BW5&gt;0,CC5-BW5,CC5-BW5+24))</f>
        <v>660</v>
      </c>
      <c r="BN5">
        <f t="shared" si="0"/>
        <v>424</v>
      </c>
      <c r="BO5" s="4">
        <f t="shared" si="1"/>
        <v>7.0666666666666664</v>
      </c>
      <c r="BP5" s="8">
        <f t="shared" ref="BP5:BP68" si="4">IF((BX5-BW5)&gt;=0,(HOUR(BX5-BW5)*60+MINUTE(BX5-BW5)),1440-(HOUR(BW5-BX5)*60+MINUTE(BW5-BX5)))+BY5</f>
        <v>200</v>
      </c>
      <c r="BQ5" s="9">
        <f t="shared" ref="BQ5:BQ11" si="5">BN5/BM5</f>
        <v>0.64242424242424245</v>
      </c>
      <c r="BR5">
        <f t="shared" ref="BR5:BR11" si="6">BZ5+HOUR(CC5-CB5)*60+MINUTE(CC5-CB5)</f>
        <v>36</v>
      </c>
      <c r="BS5">
        <v>4</v>
      </c>
      <c r="BU5">
        <v>50</v>
      </c>
      <c r="BV5" s="15"/>
      <c r="BW5" s="7">
        <v>0.875</v>
      </c>
      <c r="BX5" s="7">
        <v>0</v>
      </c>
      <c r="BY5">
        <v>20</v>
      </c>
      <c r="BZ5">
        <v>16</v>
      </c>
      <c r="CA5">
        <v>2</v>
      </c>
      <c r="CB5" s="7">
        <v>0.31944444444444442</v>
      </c>
      <c r="CC5" s="7">
        <v>0.33333333333333331</v>
      </c>
    </row>
    <row r="6" spans="1:82" x14ac:dyDescent="0.25">
      <c r="A6" s="19">
        <v>45985</v>
      </c>
      <c r="B6" s="5">
        <f t="shared" si="2"/>
        <v>1</v>
      </c>
      <c r="X6" s="3"/>
      <c r="Y6" s="3"/>
      <c r="Z6" s="3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3"/>
      <c r="AN6" s="3"/>
      <c r="AO6" s="3"/>
      <c r="BM6">
        <f t="shared" si="3"/>
        <v>497</v>
      </c>
      <c r="BN6">
        <f t="shared" si="0"/>
        <v>240</v>
      </c>
      <c r="BO6" s="4">
        <f t="shared" si="1"/>
        <v>4</v>
      </c>
      <c r="BP6" s="8">
        <f t="shared" si="4"/>
        <v>87</v>
      </c>
      <c r="BQ6" s="9">
        <f t="shared" si="5"/>
        <v>0.48289738430583501</v>
      </c>
      <c r="BR6">
        <f t="shared" si="6"/>
        <v>170</v>
      </c>
      <c r="BS6">
        <v>4</v>
      </c>
      <c r="BU6">
        <v>70</v>
      </c>
      <c r="BV6" s="15"/>
      <c r="BW6" s="7">
        <v>0.94652777777777775</v>
      </c>
      <c r="BX6" s="7">
        <v>0</v>
      </c>
      <c r="BY6">
        <v>10</v>
      </c>
      <c r="BZ6">
        <v>30</v>
      </c>
      <c r="CA6">
        <v>2</v>
      </c>
      <c r="CB6" s="7">
        <v>0.19444444444444445</v>
      </c>
      <c r="CC6" s="7">
        <v>0.29166666666666669</v>
      </c>
    </row>
    <row r="7" spans="1:82" x14ac:dyDescent="0.25">
      <c r="A7" s="19">
        <v>45986</v>
      </c>
      <c r="B7" s="5">
        <f t="shared" si="2"/>
        <v>2</v>
      </c>
      <c r="W7" s="3"/>
      <c r="X7" s="3"/>
      <c r="Y7" s="3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BM7">
        <f t="shared" si="3"/>
        <v>640</v>
      </c>
      <c r="BN7">
        <f t="shared" si="0"/>
        <v>513</v>
      </c>
      <c r="BO7" s="4">
        <f t="shared" si="1"/>
        <v>8.5500000000000007</v>
      </c>
      <c r="BP7" s="8">
        <f t="shared" si="4"/>
        <v>90</v>
      </c>
      <c r="BQ7" s="9">
        <f t="shared" si="5"/>
        <v>0.80156249999999996</v>
      </c>
      <c r="BR7">
        <f t="shared" si="6"/>
        <v>37</v>
      </c>
      <c r="BS7">
        <v>3</v>
      </c>
      <c r="BU7">
        <v>40</v>
      </c>
      <c r="BV7" s="15"/>
      <c r="BW7" s="7">
        <v>0.91666666666666663</v>
      </c>
      <c r="BX7" s="7">
        <v>0.95833333333333337</v>
      </c>
      <c r="BY7">
        <v>30</v>
      </c>
      <c r="BZ7">
        <v>30</v>
      </c>
      <c r="CA7">
        <v>4</v>
      </c>
      <c r="CB7" s="7">
        <v>0.35625000000000001</v>
      </c>
      <c r="CC7" s="7">
        <v>0.3611111111111111</v>
      </c>
    </row>
    <row r="8" spans="1:82" x14ac:dyDescent="0.25">
      <c r="A8" s="19">
        <v>45987</v>
      </c>
      <c r="B8" s="6">
        <f t="shared" si="2"/>
        <v>3</v>
      </c>
      <c r="X8" s="3"/>
      <c r="Y8" s="3"/>
      <c r="Z8" s="3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BM8">
        <f t="shared" si="3"/>
        <v>550</v>
      </c>
      <c r="BN8">
        <f t="shared" si="0"/>
        <v>440</v>
      </c>
      <c r="BO8" s="4">
        <f t="shared" si="1"/>
        <v>7.333333333333333</v>
      </c>
      <c r="BP8" s="8">
        <f t="shared" si="4"/>
        <v>90</v>
      </c>
      <c r="BQ8" s="9">
        <f t="shared" si="5"/>
        <v>0.8</v>
      </c>
      <c r="BR8">
        <f t="shared" si="6"/>
        <v>20</v>
      </c>
      <c r="BS8">
        <v>3</v>
      </c>
      <c r="BU8">
        <v>90</v>
      </c>
      <c r="BV8" s="15"/>
      <c r="BW8" s="7">
        <v>0.94444444444444442</v>
      </c>
      <c r="BX8" s="7">
        <v>0.97222222222222221</v>
      </c>
      <c r="BY8">
        <v>50</v>
      </c>
      <c r="BZ8">
        <v>20</v>
      </c>
      <c r="CA8">
        <v>3</v>
      </c>
      <c r="CB8" s="7">
        <v>0.3263888888888889</v>
      </c>
      <c r="CC8" s="7">
        <v>0.3263888888888889</v>
      </c>
    </row>
    <row r="9" spans="1:82" x14ac:dyDescent="0.25">
      <c r="A9" s="19">
        <v>45988</v>
      </c>
      <c r="B9" s="6">
        <f t="shared" si="2"/>
        <v>4</v>
      </c>
      <c r="Y9" s="3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3"/>
      <c r="AP9" s="3"/>
      <c r="BM9">
        <f t="shared" si="3"/>
        <v>540</v>
      </c>
      <c r="BN9">
        <f t="shared" si="0"/>
        <v>440</v>
      </c>
      <c r="BO9" s="4">
        <f t="shared" si="1"/>
        <v>7.333333333333333</v>
      </c>
      <c r="BP9" s="8">
        <f t="shared" si="4"/>
        <v>40</v>
      </c>
      <c r="BQ9" s="9">
        <f t="shared" si="5"/>
        <v>0.81481481481481477</v>
      </c>
      <c r="BR9">
        <f t="shared" si="6"/>
        <v>60</v>
      </c>
      <c r="BS9">
        <v>4</v>
      </c>
      <c r="BU9">
        <v>40</v>
      </c>
      <c r="BV9" s="15"/>
      <c r="BW9" s="7">
        <v>0.95833333333333337</v>
      </c>
      <c r="BX9" s="7">
        <v>0.95833333333333337</v>
      </c>
      <c r="BY9">
        <v>40</v>
      </c>
      <c r="BZ9">
        <v>0</v>
      </c>
      <c r="CA9">
        <v>0</v>
      </c>
      <c r="CB9" s="7">
        <v>0.29166666666666669</v>
      </c>
      <c r="CC9" s="7">
        <v>0.33333333333333331</v>
      </c>
    </row>
    <row r="10" spans="1:82" ht="12" customHeight="1" x14ac:dyDescent="0.25">
      <c r="A10" s="28" t="s">
        <v>42</v>
      </c>
      <c r="B10" s="2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1"/>
      <c r="BP10" s="12"/>
      <c r="BQ10" s="13"/>
      <c r="BR10" s="10"/>
      <c r="BS10" s="10"/>
      <c r="BT10" s="10"/>
      <c r="BU10" s="10"/>
      <c r="BV10" s="16"/>
      <c r="BW10" s="14"/>
      <c r="BX10" s="14"/>
      <c r="BY10" s="10"/>
      <c r="BZ10" s="10"/>
      <c r="CA10" s="10"/>
      <c r="CB10" s="14"/>
      <c r="CC10" s="14"/>
      <c r="CD10" s="10"/>
    </row>
    <row r="11" spans="1:82" x14ac:dyDescent="0.25">
      <c r="A11" s="1">
        <v>45989</v>
      </c>
      <c r="B11" s="6">
        <f t="shared" si="2"/>
        <v>5</v>
      </c>
      <c r="X11" s="3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BM11">
        <f t="shared" si="3"/>
        <v>520</v>
      </c>
      <c r="BN11">
        <f t="shared" si="0"/>
        <v>476</v>
      </c>
      <c r="BO11" s="4">
        <f t="shared" si="1"/>
        <v>7.9333333333333336</v>
      </c>
      <c r="BP11" s="8">
        <f t="shared" si="4"/>
        <v>30</v>
      </c>
      <c r="BQ11" s="9">
        <f t="shared" si="5"/>
        <v>0.91538461538461535</v>
      </c>
      <c r="BR11">
        <f t="shared" si="6"/>
        <v>14</v>
      </c>
      <c r="BS11">
        <v>2</v>
      </c>
      <c r="BU11">
        <v>30</v>
      </c>
      <c r="BV11" s="15"/>
      <c r="BW11" s="7">
        <v>0.95138888888888884</v>
      </c>
      <c r="BX11" s="7">
        <v>0.95833333333333337</v>
      </c>
      <c r="BY11">
        <v>20</v>
      </c>
      <c r="BZ11">
        <v>14</v>
      </c>
      <c r="CA11">
        <v>2</v>
      </c>
      <c r="CB11" s="7">
        <v>0.3125</v>
      </c>
      <c r="CC11" s="7">
        <v>0.3125</v>
      </c>
    </row>
    <row r="12" spans="1:82" x14ac:dyDescent="0.25">
      <c r="A12" s="1">
        <v>45990</v>
      </c>
      <c r="B12" s="6">
        <f t="shared" si="2"/>
        <v>6</v>
      </c>
      <c r="W12" s="3"/>
      <c r="X12" s="3"/>
      <c r="Y12" s="3"/>
      <c r="Z12" s="3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BM12">
        <f t="shared" si="3"/>
        <v>570</v>
      </c>
      <c r="BN12">
        <f t="shared" ref="BN12:BN69" si="7">HOUR(IF(CB12-BX12&gt;0,CB12-BX12,CB12-BX12+24))*60+MINUTE(IF(CB12-BX12&gt;0,CB12-BX12,CB12-BX12+24))-BY12-BZ12</f>
        <v>419</v>
      </c>
      <c r="BO12" s="4">
        <f t="shared" ref="BO12:BO69" si="8">BN12/60</f>
        <v>6.9833333333333334</v>
      </c>
      <c r="BP12" s="8">
        <f t="shared" si="4"/>
        <v>130</v>
      </c>
      <c r="BQ12" s="9">
        <f t="shared" ref="BQ12:BQ69" si="9">BN12/BM12</f>
        <v>0.73508771929824557</v>
      </c>
      <c r="BR12">
        <f t="shared" ref="BR12:BR69" si="10">BZ12+HOUR(CC12-CB12)*60+MINUTE(CC12-CB12)</f>
        <v>21</v>
      </c>
      <c r="BS12">
        <v>1</v>
      </c>
      <c r="BU12">
        <v>60</v>
      </c>
      <c r="BV12" s="15"/>
      <c r="BW12" s="7">
        <v>0.91666666666666663</v>
      </c>
      <c r="BX12" s="7">
        <v>1</v>
      </c>
      <c r="BY12">
        <v>10</v>
      </c>
      <c r="BZ12">
        <v>5</v>
      </c>
      <c r="CA12">
        <v>2</v>
      </c>
      <c r="CB12" s="7">
        <v>0.30138888888888887</v>
      </c>
      <c r="CC12" s="7">
        <v>0.3125</v>
      </c>
    </row>
    <row r="13" spans="1:82" x14ac:dyDescent="0.25">
      <c r="A13" s="1">
        <v>45991</v>
      </c>
      <c r="B13" s="6">
        <f t="shared" si="2"/>
        <v>7</v>
      </c>
      <c r="W13" s="3"/>
      <c r="X13" s="3"/>
      <c r="Y13" s="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3"/>
      <c r="BM13">
        <f t="shared" si="3"/>
        <v>580</v>
      </c>
      <c r="BN13">
        <f t="shared" si="7"/>
        <v>447</v>
      </c>
      <c r="BO13" s="4">
        <f t="shared" si="8"/>
        <v>7.45</v>
      </c>
      <c r="BP13" s="8">
        <f t="shared" si="4"/>
        <v>105</v>
      </c>
      <c r="BQ13" s="9">
        <f t="shared" si="9"/>
        <v>0.77068965517241383</v>
      </c>
      <c r="BR13">
        <f t="shared" si="10"/>
        <v>28</v>
      </c>
      <c r="BS13">
        <v>3</v>
      </c>
      <c r="BU13">
        <v>40</v>
      </c>
      <c r="BV13" s="15"/>
      <c r="BW13" s="7">
        <v>0.91666666666666663</v>
      </c>
      <c r="BX13" s="7">
        <v>0.98611111111111116</v>
      </c>
      <c r="BY13">
        <v>5</v>
      </c>
      <c r="BZ13">
        <v>15</v>
      </c>
      <c r="CA13">
        <v>3</v>
      </c>
      <c r="CB13" s="7">
        <v>0.31041666666666667</v>
      </c>
      <c r="CC13" s="7">
        <v>0.31944444444444442</v>
      </c>
    </row>
    <row r="14" spans="1:82" x14ac:dyDescent="0.25">
      <c r="A14" s="1">
        <v>45992</v>
      </c>
      <c r="B14" s="6">
        <f t="shared" si="2"/>
        <v>1</v>
      </c>
      <c r="Y14" s="3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3"/>
      <c r="BM14">
        <f t="shared" si="3"/>
        <v>520</v>
      </c>
      <c r="BN14">
        <f t="shared" si="7"/>
        <v>463</v>
      </c>
      <c r="BO14" s="4">
        <f t="shared" si="8"/>
        <v>7.7166666666666668</v>
      </c>
      <c r="BP14" s="8">
        <f t="shared" si="4"/>
        <v>30</v>
      </c>
      <c r="BQ14" s="9">
        <f t="shared" si="9"/>
        <v>0.89038461538461533</v>
      </c>
      <c r="BR14">
        <f t="shared" si="10"/>
        <v>27</v>
      </c>
      <c r="BS14">
        <v>2</v>
      </c>
      <c r="BU14">
        <v>15</v>
      </c>
      <c r="BV14" s="15"/>
      <c r="BW14" s="7">
        <v>0.95833333333333337</v>
      </c>
      <c r="BX14" s="7">
        <v>0.97222222222222221</v>
      </c>
      <c r="BY14">
        <v>10</v>
      </c>
      <c r="BZ14">
        <v>10</v>
      </c>
      <c r="CA14">
        <v>2</v>
      </c>
      <c r="CB14" s="7">
        <v>0.30763888888888891</v>
      </c>
      <c r="CC14" s="7">
        <v>0.31944444444444442</v>
      </c>
    </row>
    <row r="15" spans="1:82" x14ac:dyDescent="0.25">
      <c r="A15" s="1">
        <v>45993</v>
      </c>
      <c r="B15" s="6">
        <f t="shared" si="2"/>
        <v>2</v>
      </c>
      <c r="Y15" s="3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3"/>
      <c r="BM15">
        <f t="shared" si="3"/>
        <v>500</v>
      </c>
      <c r="BN15">
        <f t="shared" si="7"/>
        <v>406</v>
      </c>
      <c r="BO15" s="4">
        <f t="shared" si="8"/>
        <v>6.7666666666666666</v>
      </c>
      <c r="BP15" s="8">
        <f t="shared" si="4"/>
        <v>50</v>
      </c>
      <c r="BQ15" s="9">
        <f t="shared" si="9"/>
        <v>0.81200000000000006</v>
      </c>
      <c r="BR15">
        <f t="shared" si="10"/>
        <v>44</v>
      </c>
      <c r="BS15">
        <v>2</v>
      </c>
      <c r="BU15">
        <v>10</v>
      </c>
      <c r="BV15" s="15"/>
      <c r="BW15" s="7">
        <v>0.95833333333333337</v>
      </c>
      <c r="BX15" s="7">
        <v>0.97916666666666663</v>
      </c>
      <c r="BY15">
        <v>20</v>
      </c>
      <c r="BZ15">
        <v>10</v>
      </c>
      <c r="CA15">
        <v>3</v>
      </c>
      <c r="CB15" s="7">
        <v>0.28194444444444444</v>
      </c>
      <c r="CC15" s="7">
        <v>0.30555555555555558</v>
      </c>
    </row>
    <row r="16" spans="1:82" x14ac:dyDescent="0.25">
      <c r="A16" s="1">
        <v>45994</v>
      </c>
      <c r="B16" s="6">
        <f t="shared" si="2"/>
        <v>3</v>
      </c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  <c r="AS16" s="3"/>
      <c r="BM16">
        <f t="shared" si="3"/>
        <v>610</v>
      </c>
      <c r="BN16">
        <f t="shared" si="7"/>
        <v>452</v>
      </c>
      <c r="BO16" s="4">
        <f t="shared" si="8"/>
        <v>7.5333333333333332</v>
      </c>
      <c r="BP16" s="8">
        <f t="shared" si="4"/>
        <v>80</v>
      </c>
      <c r="BQ16" s="9">
        <f t="shared" si="9"/>
        <v>0.74098360655737705</v>
      </c>
      <c r="BR16">
        <f t="shared" si="10"/>
        <v>78</v>
      </c>
      <c r="BS16">
        <v>4</v>
      </c>
      <c r="BU16">
        <v>40</v>
      </c>
      <c r="BV16" s="15"/>
      <c r="BW16" s="7">
        <v>0.97222222222222221</v>
      </c>
      <c r="BX16" s="7">
        <v>1.0138888888888888</v>
      </c>
      <c r="BY16">
        <v>20</v>
      </c>
      <c r="BZ16">
        <v>0</v>
      </c>
      <c r="CA16">
        <v>0</v>
      </c>
      <c r="CB16" s="7">
        <v>0.34166666666666667</v>
      </c>
      <c r="CC16" s="7">
        <v>0.39583333333333331</v>
      </c>
    </row>
    <row r="17" spans="1:91" x14ac:dyDescent="0.25">
      <c r="A17" s="1">
        <v>45995</v>
      </c>
      <c r="B17" s="5">
        <f>WEEKDAY(A17-1)</f>
        <v>4</v>
      </c>
      <c r="C17" s="20" t="s">
        <v>21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Y17" s="3"/>
      <c r="Z17" s="3"/>
      <c r="AA17" s="3"/>
      <c r="AB17" s="2"/>
      <c r="AC17" s="2"/>
      <c r="AD17" s="2"/>
      <c r="AE17" s="21" t="s">
        <v>23</v>
      </c>
      <c r="AF17" s="21"/>
      <c r="AG17" s="21"/>
      <c r="AH17" s="21"/>
      <c r="AI17" s="21"/>
      <c r="AJ17" s="21"/>
      <c r="AK17" s="21"/>
      <c r="AL17" s="21"/>
      <c r="AM17" s="2"/>
      <c r="AN17" s="3"/>
      <c r="AO17" s="3"/>
      <c r="AP17" s="3"/>
      <c r="AQ17" s="3"/>
      <c r="AR17" s="3"/>
      <c r="AS17" s="3"/>
      <c r="AT17" s="3"/>
      <c r="AU17" s="3"/>
      <c r="BM17">
        <f t="shared" si="3"/>
        <v>630</v>
      </c>
      <c r="BN17">
        <f t="shared" si="7"/>
        <v>294</v>
      </c>
      <c r="BO17" s="4">
        <f t="shared" si="8"/>
        <v>4.9000000000000004</v>
      </c>
      <c r="BP17" s="8">
        <f t="shared" si="4"/>
        <v>70</v>
      </c>
      <c r="BQ17" s="9">
        <f t="shared" si="9"/>
        <v>0.46666666666666667</v>
      </c>
      <c r="BR17">
        <f t="shared" si="10"/>
        <v>266</v>
      </c>
      <c r="BS17">
        <v>3</v>
      </c>
      <c r="BT17" t="s">
        <v>26</v>
      </c>
      <c r="BU17">
        <v>40</v>
      </c>
      <c r="BV17" s="15"/>
      <c r="BW17" s="7">
        <v>0.97916666666666663</v>
      </c>
      <c r="BX17" s="7">
        <v>1</v>
      </c>
      <c r="BY17">
        <v>40</v>
      </c>
      <c r="BZ17" s="17">
        <v>30</v>
      </c>
      <c r="CA17">
        <v>1</v>
      </c>
      <c r="CB17" s="7">
        <v>0.25277777777777777</v>
      </c>
      <c r="CC17" s="7">
        <v>0.41666666666666669</v>
      </c>
    </row>
    <row r="18" spans="1:91" x14ac:dyDescent="0.25">
      <c r="A18" s="1">
        <v>45996</v>
      </c>
      <c r="B18" s="5">
        <f t="shared" si="2"/>
        <v>5</v>
      </c>
      <c r="Y18" s="3"/>
      <c r="Z18" s="3"/>
      <c r="AA18" s="3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3"/>
      <c r="BM18">
        <f t="shared" si="3"/>
        <v>600</v>
      </c>
      <c r="BN18">
        <f t="shared" si="7"/>
        <v>400</v>
      </c>
      <c r="BO18" s="4">
        <f t="shared" si="8"/>
        <v>6.666666666666667</v>
      </c>
      <c r="BP18" s="8">
        <f t="shared" si="4"/>
        <v>110</v>
      </c>
      <c r="BQ18" s="9">
        <f t="shared" si="9"/>
        <v>0.66666666666666663</v>
      </c>
      <c r="BR18">
        <f t="shared" si="10"/>
        <v>90</v>
      </c>
      <c r="BS18">
        <v>4</v>
      </c>
      <c r="BU18">
        <v>40</v>
      </c>
      <c r="BV18" s="15"/>
      <c r="BW18" s="7">
        <v>0.95833333333333337</v>
      </c>
      <c r="BX18" s="7">
        <v>1.0208333333333333</v>
      </c>
      <c r="BY18">
        <v>20</v>
      </c>
      <c r="BZ18">
        <v>0</v>
      </c>
      <c r="CA18">
        <v>0</v>
      </c>
      <c r="CB18" s="7">
        <v>0.3125</v>
      </c>
      <c r="CC18" s="7">
        <v>0.375</v>
      </c>
    </row>
    <row r="19" spans="1:91" x14ac:dyDescent="0.25">
      <c r="A19" s="1">
        <v>45997</v>
      </c>
      <c r="B19" s="5">
        <f t="shared" si="2"/>
        <v>6</v>
      </c>
      <c r="Y19" s="3"/>
      <c r="Z19" s="3"/>
      <c r="AA19" s="3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BM19">
        <f t="shared" si="3"/>
        <v>510</v>
      </c>
      <c r="BN19">
        <f t="shared" si="7"/>
        <v>420</v>
      </c>
      <c r="BO19" s="4">
        <f t="shared" si="8"/>
        <v>7</v>
      </c>
      <c r="BP19" s="8">
        <f t="shared" si="4"/>
        <v>90</v>
      </c>
      <c r="BQ19" s="9">
        <f t="shared" si="9"/>
        <v>0.82352941176470584</v>
      </c>
      <c r="BR19">
        <f t="shared" si="10"/>
        <v>0</v>
      </c>
      <c r="BS19">
        <v>4</v>
      </c>
      <c r="BU19">
        <v>30</v>
      </c>
      <c r="BV19" s="15"/>
      <c r="BW19" s="7">
        <v>0.96527777777777779</v>
      </c>
      <c r="BX19" s="7">
        <v>1.0069444444444444</v>
      </c>
      <c r="BY19">
        <v>30</v>
      </c>
      <c r="BZ19">
        <v>0</v>
      </c>
      <c r="CA19">
        <v>0</v>
      </c>
      <c r="CB19" s="7">
        <v>0.31944444444444442</v>
      </c>
      <c r="CC19" s="7">
        <v>0.31944444444444442</v>
      </c>
    </row>
    <row r="20" spans="1:91" x14ac:dyDescent="0.25">
      <c r="A20" s="1">
        <v>45998</v>
      </c>
      <c r="B20" s="5">
        <f t="shared" si="2"/>
        <v>7</v>
      </c>
      <c r="Y20" s="3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3"/>
      <c r="BM20">
        <f t="shared" si="3"/>
        <v>540</v>
      </c>
      <c r="BN20">
        <f t="shared" si="7"/>
        <v>470</v>
      </c>
      <c r="BO20" s="4">
        <f t="shared" si="8"/>
        <v>7.833333333333333</v>
      </c>
      <c r="BP20" s="8">
        <f t="shared" si="4"/>
        <v>40</v>
      </c>
      <c r="BQ20" s="9">
        <f t="shared" si="9"/>
        <v>0.87037037037037035</v>
      </c>
      <c r="BR20">
        <f t="shared" si="10"/>
        <v>30</v>
      </c>
      <c r="BS20">
        <v>3</v>
      </c>
      <c r="BU20">
        <v>30</v>
      </c>
      <c r="BV20" s="15"/>
      <c r="BW20" s="7">
        <v>0.95833333333333337</v>
      </c>
      <c r="BX20" s="7">
        <v>0.97916666666666663</v>
      </c>
      <c r="BY20">
        <v>10</v>
      </c>
      <c r="BZ20">
        <v>0</v>
      </c>
      <c r="CA20">
        <v>0</v>
      </c>
      <c r="CB20" s="7">
        <v>0.3125</v>
      </c>
      <c r="CC20" s="7">
        <v>0.33333333333333331</v>
      </c>
    </row>
    <row r="21" spans="1:91" x14ac:dyDescent="0.25">
      <c r="A21" s="1">
        <v>45999</v>
      </c>
      <c r="B21" s="5">
        <f t="shared" si="2"/>
        <v>1</v>
      </c>
      <c r="Y21" s="2"/>
      <c r="Z21" s="2"/>
      <c r="AA21" s="2"/>
      <c r="AB21" s="2"/>
      <c r="AC21" s="2"/>
      <c r="AD21" s="2"/>
      <c r="AE21" s="21" t="s">
        <v>22</v>
      </c>
      <c r="AF21" s="21"/>
      <c r="AG21" s="21"/>
      <c r="AH21" s="21"/>
      <c r="AI21" s="21"/>
      <c r="AJ21" s="21"/>
      <c r="AK21" s="21"/>
      <c r="AL21" s="21"/>
      <c r="AM21" s="2"/>
      <c r="AN21" s="2"/>
      <c r="AO21" s="2"/>
      <c r="AP21" s="2"/>
      <c r="AQ21" s="2"/>
      <c r="AR21" s="3"/>
      <c r="BM21">
        <f t="shared" si="3"/>
        <v>575</v>
      </c>
      <c r="BN21">
        <f t="shared" si="7"/>
        <v>460</v>
      </c>
      <c r="BO21" s="4">
        <f t="shared" si="8"/>
        <v>7.666666666666667</v>
      </c>
      <c r="BP21" s="8">
        <f t="shared" si="4"/>
        <v>20</v>
      </c>
      <c r="BQ21" s="9">
        <f t="shared" si="9"/>
        <v>0.8</v>
      </c>
      <c r="BR21">
        <f t="shared" si="10"/>
        <v>95</v>
      </c>
      <c r="BS21">
        <v>2</v>
      </c>
      <c r="BU21">
        <v>20</v>
      </c>
      <c r="BV21" s="15"/>
      <c r="BW21" s="7">
        <v>0.96527777777777779</v>
      </c>
      <c r="BX21" s="7">
        <v>0.97222222222222221</v>
      </c>
      <c r="BY21">
        <v>10</v>
      </c>
      <c r="BZ21" s="17">
        <v>80</v>
      </c>
      <c r="CA21">
        <v>2</v>
      </c>
      <c r="CB21" s="7">
        <v>0.35416666666666669</v>
      </c>
      <c r="CC21" s="7">
        <v>0.36458333333333331</v>
      </c>
    </row>
    <row r="22" spans="1:91" x14ac:dyDescent="0.25">
      <c r="A22" s="1">
        <v>46000</v>
      </c>
      <c r="B22" s="5">
        <f t="shared" si="2"/>
        <v>2</v>
      </c>
      <c r="Y22" s="3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3"/>
      <c r="BM22">
        <f t="shared" si="3"/>
        <v>545</v>
      </c>
      <c r="BN22">
        <f t="shared" si="7"/>
        <v>477</v>
      </c>
      <c r="BO22" s="4">
        <f t="shared" si="8"/>
        <v>7.95</v>
      </c>
      <c r="BP22" s="8">
        <f t="shared" si="4"/>
        <v>35</v>
      </c>
      <c r="BQ22" s="9">
        <f t="shared" si="9"/>
        <v>0.87522935779816513</v>
      </c>
      <c r="BR22">
        <f t="shared" si="10"/>
        <v>33</v>
      </c>
      <c r="BS22">
        <v>3</v>
      </c>
      <c r="BU22">
        <v>35</v>
      </c>
      <c r="BV22" s="15"/>
      <c r="BW22" s="7">
        <v>0.96180555555555558</v>
      </c>
      <c r="BX22" s="7">
        <v>0.97222222222222221</v>
      </c>
      <c r="BY22">
        <v>20</v>
      </c>
      <c r="BZ22">
        <v>5</v>
      </c>
      <c r="CA22">
        <v>2</v>
      </c>
      <c r="CB22" s="7">
        <v>0.32083333333333336</v>
      </c>
      <c r="CC22" s="7">
        <v>0.34027777777777779</v>
      </c>
    </row>
    <row r="23" spans="1:91" x14ac:dyDescent="0.25">
      <c r="A23" s="1">
        <v>46001</v>
      </c>
      <c r="B23" s="5">
        <f t="shared" si="2"/>
        <v>3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BM23">
        <f t="shared" si="3"/>
        <v>535</v>
      </c>
      <c r="BN23">
        <f t="shared" si="7"/>
        <v>502</v>
      </c>
      <c r="BO23" s="4">
        <f t="shared" si="8"/>
        <v>8.3666666666666671</v>
      </c>
      <c r="BP23" s="8">
        <f t="shared" si="4"/>
        <v>15</v>
      </c>
      <c r="BQ23" s="9">
        <f t="shared" si="9"/>
        <v>0.93831775700934583</v>
      </c>
      <c r="BR23">
        <f t="shared" si="10"/>
        <v>18</v>
      </c>
      <c r="BS23">
        <v>4</v>
      </c>
      <c r="BU23">
        <v>15</v>
      </c>
      <c r="BV23" s="15"/>
      <c r="BW23" s="7">
        <v>0.96180555555555558</v>
      </c>
      <c r="BX23" s="7">
        <v>0.96527777777777779</v>
      </c>
      <c r="BY23">
        <v>10</v>
      </c>
      <c r="BZ23">
        <v>0</v>
      </c>
      <c r="CA23">
        <v>0</v>
      </c>
      <c r="CB23" s="7">
        <v>0.32083333333333336</v>
      </c>
      <c r="CC23" s="7">
        <v>0.33333333333333331</v>
      </c>
    </row>
    <row r="24" spans="1:91" ht="12" customHeight="1" x14ac:dyDescent="0.25">
      <c r="A24" s="28" t="s">
        <v>43</v>
      </c>
      <c r="B24" s="2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1"/>
      <c r="BP24" s="12"/>
      <c r="BQ24" s="13"/>
      <c r="BR24" s="10"/>
      <c r="BS24" s="10"/>
      <c r="BT24" s="10"/>
      <c r="BU24" s="10"/>
      <c r="BV24" s="16"/>
      <c r="BW24" s="14"/>
      <c r="BX24" s="14"/>
      <c r="BY24" s="10"/>
      <c r="BZ24" s="10"/>
      <c r="CA24" s="10"/>
      <c r="CB24" s="14"/>
      <c r="CC24" s="14"/>
      <c r="CD24" s="10"/>
    </row>
    <row r="25" spans="1:91" x14ac:dyDescent="0.25">
      <c r="A25" s="1">
        <v>46002</v>
      </c>
      <c r="B25" s="5">
        <f t="shared" si="2"/>
        <v>4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BM25">
        <f t="shared" ref="BM25:BM38" si="11">HOUR(IF(CC25-BW25&gt;0,CC25-BW25,CC25-BW25+24))*60+MINUTE(IF(CC25-BW25&gt;0,CC25-BW25,CC25-BW25+24))</f>
        <v>404</v>
      </c>
      <c r="BN25">
        <f t="shared" ref="BN25:BN38" si="12">HOUR(IF(CB25-BX25&gt;0,CB25-BX25,CB25-BX25+24))*60+MINUTE(IF(CB25-BX25&gt;0,CB25-BX25,CB25-BX25+24))-BY25-BZ25</f>
        <v>374</v>
      </c>
      <c r="BO25" s="4">
        <f t="shared" ref="BO25:BO38" si="13">BN25/60</f>
        <v>6.2333333333333334</v>
      </c>
      <c r="BP25" s="8">
        <f t="shared" si="4"/>
        <v>5</v>
      </c>
      <c r="BQ25" s="9">
        <f t="shared" ref="BQ25:BQ38" si="14">BN25/BM25</f>
        <v>0.92574257425742579</v>
      </c>
      <c r="BR25">
        <f t="shared" ref="BR25:BR38" si="15">BZ25+HOUR(CC25-CB25)*60+MINUTE(CC25-CB25)</f>
        <v>25</v>
      </c>
      <c r="BS25">
        <v>3</v>
      </c>
      <c r="BU25">
        <v>20</v>
      </c>
      <c r="BV25" s="15"/>
      <c r="BW25" s="7">
        <v>1.0277777777777777</v>
      </c>
      <c r="BX25" s="7">
        <v>1.0277777777777777</v>
      </c>
      <c r="BY25">
        <v>5</v>
      </c>
      <c r="BZ25">
        <v>5</v>
      </c>
      <c r="CA25">
        <v>1</v>
      </c>
      <c r="CB25" s="7">
        <v>0.29444444444444445</v>
      </c>
      <c r="CC25" s="7">
        <v>0.30833333333333335</v>
      </c>
    </row>
    <row r="26" spans="1:91" x14ac:dyDescent="0.25">
      <c r="A26" s="1">
        <v>46003</v>
      </c>
      <c r="B26" s="5">
        <f t="shared" si="2"/>
        <v>5</v>
      </c>
      <c r="Y26" s="3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BM26">
        <f t="shared" si="11"/>
        <v>470</v>
      </c>
      <c r="BN26">
        <f t="shared" si="12"/>
        <v>410</v>
      </c>
      <c r="BO26" s="4">
        <f t="shared" si="13"/>
        <v>6.833333333333333</v>
      </c>
      <c r="BP26" s="8">
        <f t="shared" si="4"/>
        <v>60</v>
      </c>
      <c r="BQ26" s="9">
        <f t="shared" si="14"/>
        <v>0.87234042553191493</v>
      </c>
      <c r="BR26">
        <f t="shared" si="15"/>
        <v>0</v>
      </c>
      <c r="BS26">
        <v>3</v>
      </c>
      <c r="BU26">
        <v>60</v>
      </c>
      <c r="BV26" s="15"/>
      <c r="BW26" s="7">
        <v>0.95833333333333337</v>
      </c>
      <c r="BX26" s="7">
        <v>0.97916666666666663</v>
      </c>
      <c r="BY26">
        <v>30</v>
      </c>
      <c r="BZ26">
        <v>0</v>
      </c>
      <c r="CA26">
        <v>0</v>
      </c>
      <c r="CB26" s="7">
        <v>0.28472222222222221</v>
      </c>
      <c r="CC26" s="7">
        <v>0.28472222222222221</v>
      </c>
    </row>
    <row r="27" spans="1:91" ht="15.6" x14ac:dyDescent="0.25">
      <c r="A27" s="1">
        <v>46004</v>
      </c>
      <c r="B27" s="5">
        <f t="shared" si="2"/>
        <v>6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3"/>
      <c r="AU27" s="3"/>
      <c r="BM27">
        <f t="shared" si="11"/>
        <v>480</v>
      </c>
      <c r="BN27">
        <f t="shared" si="12"/>
        <v>417</v>
      </c>
      <c r="BO27" s="4">
        <f t="shared" si="13"/>
        <v>6.95</v>
      </c>
      <c r="BP27" s="8">
        <f t="shared" si="4"/>
        <v>3</v>
      </c>
      <c r="BQ27" s="9">
        <f t="shared" si="14"/>
        <v>0.86875000000000002</v>
      </c>
      <c r="BR27">
        <f t="shared" si="15"/>
        <v>60</v>
      </c>
      <c r="BS27">
        <v>2</v>
      </c>
      <c r="BT27" t="s">
        <v>27</v>
      </c>
      <c r="BU27">
        <v>2</v>
      </c>
      <c r="BV27" s="15"/>
      <c r="BW27" s="7">
        <v>0.10416666666666667</v>
      </c>
      <c r="BX27" s="7">
        <v>0.10416666666666667</v>
      </c>
      <c r="BY27">
        <v>3</v>
      </c>
      <c r="BZ27">
        <v>0</v>
      </c>
      <c r="CA27">
        <v>0</v>
      </c>
      <c r="CB27" s="7">
        <v>0.39583333333333331</v>
      </c>
      <c r="CC27" s="7">
        <v>0.4375</v>
      </c>
      <c r="CJ27" s="18"/>
      <c r="CK27" s="18"/>
      <c r="CL27" s="18"/>
      <c r="CM27" s="18"/>
    </row>
    <row r="28" spans="1:91" x14ac:dyDescent="0.25">
      <c r="A28" s="1">
        <v>46005</v>
      </c>
      <c r="B28" s="5">
        <f t="shared" si="2"/>
        <v>7</v>
      </c>
      <c r="W28" s="3"/>
      <c r="X28" s="2"/>
      <c r="Y28" s="2"/>
      <c r="Z28" s="2"/>
      <c r="AA28" s="2"/>
      <c r="AB28" s="2"/>
      <c r="AC28" s="2"/>
      <c r="AD28" s="2"/>
      <c r="AE28" s="21" t="s">
        <v>24</v>
      </c>
      <c r="AF28" s="21"/>
      <c r="AG28" s="21"/>
      <c r="AH28" s="21"/>
      <c r="AI28" s="21"/>
      <c r="AJ28" s="21"/>
      <c r="AK28" s="21"/>
      <c r="AL28" s="21"/>
      <c r="AM28" s="2"/>
      <c r="AN28" s="2"/>
      <c r="AO28" s="2"/>
      <c r="AP28" s="2"/>
      <c r="AQ28" s="2"/>
      <c r="BM28">
        <f t="shared" si="11"/>
        <v>590</v>
      </c>
      <c r="BN28">
        <f t="shared" si="12"/>
        <v>489</v>
      </c>
      <c r="BO28" s="4">
        <f t="shared" si="13"/>
        <v>8.15</v>
      </c>
      <c r="BP28" s="8">
        <f t="shared" si="4"/>
        <v>30</v>
      </c>
      <c r="BQ28" s="9">
        <f t="shared" si="14"/>
        <v>0.82881355932203393</v>
      </c>
      <c r="BR28">
        <f t="shared" si="15"/>
        <v>71</v>
      </c>
      <c r="BS28">
        <v>2</v>
      </c>
      <c r="BU28">
        <v>30</v>
      </c>
      <c r="BV28" s="15"/>
      <c r="BW28" s="7">
        <v>0.9375</v>
      </c>
      <c r="BX28" s="7">
        <v>0.9375</v>
      </c>
      <c r="BY28">
        <v>30</v>
      </c>
      <c r="BZ28">
        <v>65</v>
      </c>
      <c r="CA28">
        <v>2</v>
      </c>
      <c r="CB28" s="7">
        <v>0.34305555555555556</v>
      </c>
      <c r="CC28" s="7">
        <v>0.34722222222222221</v>
      </c>
    </row>
    <row r="29" spans="1:91" x14ac:dyDescent="0.25">
      <c r="A29" s="1">
        <v>46006</v>
      </c>
      <c r="B29" s="5">
        <f t="shared" si="2"/>
        <v>1</v>
      </c>
      <c r="W29" s="3"/>
      <c r="X29" s="3"/>
      <c r="Y29" s="2"/>
      <c r="Z29" s="2"/>
      <c r="AA29" s="2"/>
      <c r="AB29" s="2"/>
      <c r="AC29" s="2"/>
      <c r="AD29" s="2"/>
      <c r="AE29" s="21" t="s">
        <v>25</v>
      </c>
      <c r="AF29" s="21"/>
      <c r="AG29" s="21"/>
      <c r="AH29" s="21"/>
      <c r="AI29" s="21"/>
      <c r="AJ29" s="21"/>
      <c r="AK29" s="21"/>
      <c r="AL29" s="21"/>
      <c r="AM29" s="2"/>
      <c r="AN29" s="2"/>
      <c r="AO29" s="2"/>
      <c r="AP29" s="2"/>
      <c r="AQ29" s="2"/>
      <c r="BM29">
        <f t="shared" si="11"/>
        <v>590</v>
      </c>
      <c r="BN29">
        <f t="shared" si="12"/>
        <v>465</v>
      </c>
      <c r="BO29" s="4">
        <f t="shared" si="13"/>
        <v>7.75</v>
      </c>
      <c r="BP29" s="8">
        <f t="shared" si="4"/>
        <v>45</v>
      </c>
      <c r="BQ29" s="9">
        <f t="shared" si="14"/>
        <v>0.78813559322033899</v>
      </c>
      <c r="BR29">
        <f t="shared" si="15"/>
        <v>80</v>
      </c>
      <c r="BS29">
        <v>2</v>
      </c>
      <c r="BU29">
        <v>10</v>
      </c>
      <c r="BV29" s="15"/>
      <c r="BW29" s="7">
        <v>0.9375</v>
      </c>
      <c r="BX29" s="7">
        <v>0.95138888888888884</v>
      </c>
      <c r="BY29">
        <v>25</v>
      </c>
      <c r="BZ29">
        <v>60</v>
      </c>
      <c r="CA29">
        <v>1</v>
      </c>
      <c r="CB29" s="7">
        <v>0.33333333333333331</v>
      </c>
      <c r="CC29" s="7">
        <v>0.34722222222222221</v>
      </c>
    </row>
    <row r="30" spans="1:91" x14ac:dyDescent="0.25">
      <c r="A30" s="1">
        <v>46007</v>
      </c>
      <c r="B30" s="5">
        <f t="shared" si="2"/>
        <v>2</v>
      </c>
      <c r="Y30" s="3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BM30">
        <f t="shared" si="11"/>
        <v>520</v>
      </c>
      <c r="BN30">
        <f t="shared" si="12"/>
        <v>457</v>
      </c>
      <c r="BO30" s="4">
        <f t="shared" si="13"/>
        <v>7.6166666666666663</v>
      </c>
      <c r="BP30" s="8">
        <f t="shared" si="4"/>
        <v>40</v>
      </c>
      <c r="BQ30" s="9">
        <f t="shared" si="14"/>
        <v>0.87884615384615383</v>
      </c>
      <c r="BR30">
        <f t="shared" si="15"/>
        <v>23</v>
      </c>
      <c r="BS30">
        <v>2</v>
      </c>
      <c r="BU30">
        <v>40</v>
      </c>
      <c r="BV30" s="15"/>
      <c r="BW30" s="7">
        <v>0.97222222222222221</v>
      </c>
      <c r="BX30" s="7">
        <v>0.97916666666666663</v>
      </c>
      <c r="BY30">
        <v>30</v>
      </c>
      <c r="BZ30">
        <v>5</v>
      </c>
      <c r="CA30">
        <v>2</v>
      </c>
      <c r="CB30" s="7">
        <v>0.32083333333333336</v>
      </c>
      <c r="CC30" s="7">
        <v>0.33333333333333331</v>
      </c>
    </row>
    <row r="31" spans="1:91" x14ac:dyDescent="0.25">
      <c r="A31" s="1">
        <v>46008</v>
      </c>
      <c r="B31" s="5">
        <f t="shared" ref="B31:B41" si="16">WEEKDAY(A31-1)</f>
        <v>3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BM31">
        <f t="shared" si="11"/>
        <v>540</v>
      </c>
      <c r="BN31">
        <f t="shared" si="12"/>
        <v>540</v>
      </c>
      <c r="BO31" s="4">
        <f t="shared" si="13"/>
        <v>9</v>
      </c>
      <c r="BP31" s="8">
        <f t="shared" si="4"/>
        <v>0</v>
      </c>
      <c r="BQ31" s="9">
        <f t="shared" si="14"/>
        <v>1</v>
      </c>
      <c r="BR31">
        <f t="shared" si="15"/>
        <v>0</v>
      </c>
      <c r="BS31">
        <v>4</v>
      </c>
      <c r="BU31">
        <v>0</v>
      </c>
      <c r="BV31" s="15"/>
      <c r="BW31" s="7">
        <v>0.95833333333333337</v>
      </c>
      <c r="BX31" s="7">
        <v>0.95833333333333337</v>
      </c>
      <c r="BY31">
        <v>0</v>
      </c>
      <c r="BZ31">
        <v>0</v>
      </c>
      <c r="CA31">
        <v>0</v>
      </c>
      <c r="CB31" s="7">
        <v>0.33333333333333331</v>
      </c>
      <c r="CC31" s="7">
        <v>0.33333333333333331</v>
      </c>
    </row>
    <row r="32" spans="1:91" ht="12" customHeight="1" x14ac:dyDescent="0.25">
      <c r="A32" s="28" t="s">
        <v>44</v>
      </c>
      <c r="B32" s="2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1"/>
      <c r="BP32" s="12"/>
      <c r="BQ32" s="13"/>
      <c r="BR32" s="10"/>
      <c r="BS32" s="10"/>
      <c r="BT32" s="10"/>
      <c r="BU32" s="10"/>
      <c r="BV32" s="16"/>
      <c r="BW32" s="14"/>
      <c r="BX32" s="14"/>
      <c r="BY32" s="10"/>
      <c r="BZ32" s="10"/>
      <c r="CA32" s="10"/>
      <c r="CB32" s="14"/>
      <c r="CC32" s="14"/>
      <c r="CD32" s="10"/>
    </row>
    <row r="33" spans="1:82" x14ac:dyDescent="0.25">
      <c r="A33" s="1">
        <v>46009</v>
      </c>
      <c r="B33" s="5">
        <f t="shared" si="16"/>
        <v>4</v>
      </c>
      <c r="Y33" s="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BM33">
        <f t="shared" si="11"/>
        <v>467</v>
      </c>
      <c r="BN33">
        <f t="shared" si="12"/>
        <v>432</v>
      </c>
      <c r="BO33" s="4">
        <f t="shared" si="13"/>
        <v>7.2</v>
      </c>
      <c r="BP33" s="8">
        <f t="shared" si="4"/>
        <v>30</v>
      </c>
      <c r="BQ33" s="9">
        <f t="shared" si="14"/>
        <v>0.92505353319057815</v>
      </c>
      <c r="BR33">
        <f t="shared" si="15"/>
        <v>5</v>
      </c>
      <c r="BS33">
        <v>4</v>
      </c>
      <c r="BU33">
        <v>30</v>
      </c>
      <c r="BV33" s="15"/>
      <c r="BW33" s="7">
        <v>0.96180555555555558</v>
      </c>
      <c r="BX33" s="7">
        <v>0.96180555555555558</v>
      </c>
      <c r="BY33">
        <v>30</v>
      </c>
      <c r="BZ33">
        <v>5</v>
      </c>
      <c r="CA33">
        <v>1</v>
      </c>
      <c r="CB33" s="7">
        <v>0.28611111111111109</v>
      </c>
      <c r="CC33" s="7">
        <v>0.28611111111111109</v>
      </c>
    </row>
    <row r="34" spans="1:82" x14ac:dyDescent="0.25">
      <c r="A34" s="1">
        <v>46010</v>
      </c>
      <c r="B34" s="5">
        <f t="shared" si="16"/>
        <v>5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BM34">
        <f t="shared" si="11"/>
        <v>536</v>
      </c>
      <c r="BN34">
        <f t="shared" si="12"/>
        <v>536</v>
      </c>
      <c r="BO34" s="4">
        <f t="shared" si="13"/>
        <v>8.9333333333333336</v>
      </c>
      <c r="BP34" s="8">
        <f t="shared" si="4"/>
        <v>0</v>
      </c>
      <c r="BQ34" s="9">
        <f t="shared" si="14"/>
        <v>1</v>
      </c>
      <c r="BR34">
        <f t="shared" si="15"/>
        <v>0</v>
      </c>
      <c r="BS34">
        <v>4</v>
      </c>
      <c r="BU34">
        <v>0</v>
      </c>
      <c r="BV34" s="15"/>
      <c r="BW34" s="7">
        <v>0.94791666666666663</v>
      </c>
      <c r="BX34" s="7">
        <v>0.94791666666666663</v>
      </c>
      <c r="BY34">
        <v>0</v>
      </c>
      <c r="BZ34">
        <v>0</v>
      </c>
      <c r="CA34">
        <v>0</v>
      </c>
      <c r="CB34" s="7">
        <v>0.32013888888888886</v>
      </c>
      <c r="CC34" s="7">
        <v>0.32013888888888886</v>
      </c>
    </row>
    <row r="35" spans="1:82" x14ac:dyDescent="0.25">
      <c r="A35" s="1">
        <v>46011</v>
      </c>
      <c r="B35" s="5">
        <f t="shared" si="16"/>
        <v>6</v>
      </c>
      <c r="C35" s="20" t="s">
        <v>21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X35" s="3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BM35">
        <f t="shared" si="11"/>
        <v>575</v>
      </c>
      <c r="BN35">
        <f t="shared" si="12"/>
        <v>530</v>
      </c>
      <c r="BO35" s="4">
        <f t="shared" si="13"/>
        <v>8.8333333333333339</v>
      </c>
      <c r="BP35" s="8">
        <f t="shared" si="4"/>
        <v>25</v>
      </c>
      <c r="BQ35" s="9">
        <f t="shared" si="14"/>
        <v>0.92173913043478262</v>
      </c>
      <c r="BR35">
        <f t="shared" si="15"/>
        <v>20</v>
      </c>
      <c r="BS35">
        <v>4</v>
      </c>
      <c r="BU35">
        <v>10</v>
      </c>
      <c r="BV35" s="15"/>
      <c r="BW35" s="7">
        <v>0.94791666666666663</v>
      </c>
      <c r="BX35" s="7">
        <v>0.95833333333333337</v>
      </c>
      <c r="BY35">
        <v>10</v>
      </c>
      <c r="BZ35">
        <v>0</v>
      </c>
      <c r="CA35">
        <v>0</v>
      </c>
      <c r="CB35" s="7">
        <v>0.33333333333333331</v>
      </c>
      <c r="CC35" s="7">
        <v>0.34722222222222221</v>
      </c>
    </row>
    <row r="36" spans="1:82" x14ac:dyDescent="0.25">
      <c r="A36" s="1">
        <v>46012</v>
      </c>
      <c r="B36" s="5">
        <f t="shared" si="16"/>
        <v>7</v>
      </c>
      <c r="Y36" s="3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BM36">
        <f t="shared" si="11"/>
        <v>530</v>
      </c>
      <c r="BN36">
        <f t="shared" si="12"/>
        <v>497</v>
      </c>
      <c r="BO36" s="4">
        <f t="shared" si="13"/>
        <v>8.2833333333333332</v>
      </c>
      <c r="BP36" s="8">
        <f t="shared" si="4"/>
        <v>25</v>
      </c>
      <c r="BQ36" s="9">
        <f t="shared" si="14"/>
        <v>0.93773584905660379</v>
      </c>
      <c r="BR36">
        <f t="shared" si="15"/>
        <v>8</v>
      </c>
      <c r="BS36">
        <v>4</v>
      </c>
      <c r="BU36">
        <v>25</v>
      </c>
      <c r="BV36" s="15"/>
      <c r="BW36" s="7">
        <v>0.97222222222222221</v>
      </c>
      <c r="BX36" s="7">
        <v>0.98611111111111116</v>
      </c>
      <c r="BY36">
        <v>5</v>
      </c>
      <c r="BZ36">
        <v>3</v>
      </c>
      <c r="CA36">
        <v>1</v>
      </c>
      <c r="CB36" s="7">
        <v>0.33680555555555558</v>
      </c>
      <c r="CC36" s="7">
        <v>0.34027777777777779</v>
      </c>
    </row>
    <row r="37" spans="1:82" x14ac:dyDescent="0.25">
      <c r="A37" s="1">
        <v>46013</v>
      </c>
      <c r="B37" s="5">
        <f t="shared" si="16"/>
        <v>1</v>
      </c>
      <c r="X37" s="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BM37">
        <f t="shared" si="11"/>
        <v>510</v>
      </c>
      <c r="BN37">
        <f t="shared" si="12"/>
        <v>492</v>
      </c>
      <c r="BO37" s="4">
        <f t="shared" si="13"/>
        <v>8.1999999999999993</v>
      </c>
      <c r="BP37" s="8">
        <f t="shared" si="4"/>
        <v>15</v>
      </c>
      <c r="BQ37" s="9">
        <f t="shared" si="14"/>
        <v>0.96470588235294119</v>
      </c>
      <c r="BR37">
        <f t="shared" si="15"/>
        <v>3</v>
      </c>
      <c r="BS37">
        <v>4</v>
      </c>
      <c r="BU37">
        <v>0</v>
      </c>
      <c r="BV37" s="15"/>
      <c r="BW37" s="7">
        <v>0.94791666666666663</v>
      </c>
      <c r="BX37" s="7">
        <v>0.95833333333333337</v>
      </c>
      <c r="BY37">
        <v>0</v>
      </c>
      <c r="BZ37">
        <v>0</v>
      </c>
      <c r="CA37">
        <v>0</v>
      </c>
      <c r="CB37" s="7">
        <v>0.3</v>
      </c>
      <c r="CC37" s="7">
        <v>0.30208333333333331</v>
      </c>
    </row>
    <row r="38" spans="1:82" x14ac:dyDescent="0.25">
      <c r="A38" s="1">
        <v>46014</v>
      </c>
      <c r="B38" s="5">
        <f t="shared" si="16"/>
        <v>2</v>
      </c>
      <c r="X38" s="3"/>
      <c r="Y38" s="3"/>
      <c r="Z38" s="3"/>
      <c r="AA38" s="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BM38">
        <f t="shared" si="11"/>
        <v>555</v>
      </c>
      <c r="BN38">
        <f t="shared" si="12"/>
        <v>417</v>
      </c>
      <c r="BO38" s="4">
        <f t="shared" si="13"/>
        <v>6.95</v>
      </c>
      <c r="BP38" s="8">
        <f t="shared" si="4"/>
        <v>120</v>
      </c>
      <c r="BQ38" s="9">
        <f t="shared" si="14"/>
        <v>0.75135135135135134</v>
      </c>
      <c r="BR38">
        <f t="shared" si="15"/>
        <v>18</v>
      </c>
      <c r="BS38">
        <v>3</v>
      </c>
      <c r="BU38">
        <v>60</v>
      </c>
      <c r="BV38" s="15"/>
      <c r="BW38" s="7">
        <v>0.94791666666666663</v>
      </c>
      <c r="BX38" s="7">
        <v>0.98958333333333337</v>
      </c>
      <c r="BY38">
        <v>60</v>
      </c>
      <c r="BZ38">
        <v>0</v>
      </c>
      <c r="CA38">
        <v>0</v>
      </c>
      <c r="CB38" s="7">
        <v>0.32083333333333336</v>
      </c>
      <c r="CC38" s="7">
        <v>0.33333333333333331</v>
      </c>
    </row>
    <row r="39" spans="1:82" x14ac:dyDescent="0.25">
      <c r="A39" s="1">
        <v>46015</v>
      </c>
      <c r="B39" s="5">
        <f t="shared" si="16"/>
        <v>3</v>
      </c>
      <c r="W39" s="3"/>
      <c r="X39" s="3"/>
      <c r="Y39" s="3"/>
      <c r="Z39" s="2"/>
      <c r="AA39" s="2"/>
      <c r="AB39" s="2"/>
      <c r="AC39" s="2"/>
      <c r="AD39" s="2"/>
      <c r="AE39" s="21" t="s">
        <v>29</v>
      </c>
      <c r="AF39" s="21"/>
      <c r="AG39" s="21"/>
      <c r="AH39" s="21"/>
      <c r="AI39" s="21"/>
      <c r="AJ39" s="21"/>
      <c r="AK39" s="21"/>
      <c r="AL39" s="21"/>
      <c r="AM39" s="2"/>
      <c r="AN39" s="2"/>
      <c r="AO39" s="2"/>
      <c r="AP39" s="2"/>
      <c r="AQ39" s="2"/>
      <c r="BM39">
        <f t="shared" si="3"/>
        <v>605</v>
      </c>
      <c r="BN39">
        <f t="shared" si="7"/>
        <v>430</v>
      </c>
      <c r="BO39" s="4">
        <f t="shared" si="8"/>
        <v>7.166666666666667</v>
      </c>
      <c r="BP39" s="8">
        <f t="shared" si="4"/>
        <v>85</v>
      </c>
      <c r="BQ39" s="9">
        <f t="shared" si="9"/>
        <v>0.71074380165289253</v>
      </c>
      <c r="BR39">
        <f t="shared" si="10"/>
        <v>90</v>
      </c>
      <c r="BS39">
        <v>2</v>
      </c>
      <c r="BT39" t="s">
        <v>28</v>
      </c>
      <c r="BU39">
        <v>60</v>
      </c>
      <c r="BV39" s="15"/>
      <c r="BW39" s="7">
        <v>0.92013888888888884</v>
      </c>
      <c r="BX39" s="7">
        <v>0.9375</v>
      </c>
      <c r="BY39">
        <v>60</v>
      </c>
      <c r="BZ39">
        <v>90</v>
      </c>
      <c r="CA39">
        <v>3</v>
      </c>
      <c r="CB39" s="7">
        <v>0.34027777777777779</v>
      </c>
      <c r="CC39" s="7">
        <v>0.34027777777777779</v>
      </c>
    </row>
    <row r="40" spans="1:82" x14ac:dyDescent="0.25">
      <c r="A40" s="1">
        <v>46016</v>
      </c>
      <c r="B40" s="5">
        <f t="shared" si="16"/>
        <v>4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BM40">
        <f t="shared" si="3"/>
        <v>473</v>
      </c>
      <c r="BN40">
        <f t="shared" si="7"/>
        <v>463</v>
      </c>
      <c r="BO40" s="4">
        <f t="shared" si="8"/>
        <v>7.7166666666666668</v>
      </c>
      <c r="BP40" s="8">
        <f t="shared" si="4"/>
        <v>10</v>
      </c>
      <c r="BQ40" s="9">
        <f t="shared" si="9"/>
        <v>0.97885835095137419</v>
      </c>
      <c r="BR40">
        <f t="shared" si="10"/>
        <v>0</v>
      </c>
      <c r="BS40">
        <v>2</v>
      </c>
      <c r="BU40">
        <v>10</v>
      </c>
      <c r="BV40" s="15"/>
      <c r="BW40" s="7">
        <v>0.97222222222222221</v>
      </c>
      <c r="BX40" s="7">
        <v>0.97222222222222221</v>
      </c>
      <c r="BY40">
        <v>10</v>
      </c>
      <c r="BZ40">
        <v>0</v>
      </c>
      <c r="CA40">
        <v>0</v>
      </c>
      <c r="CB40" s="7">
        <v>0.30069444444444449</v>
      </c>
      <c r="CC40" s="7">
        <v>0.30069444444444449</v>
      </c>
    </row>
    <row r="41" spans="1:82" x14ac:dyDescent="0.25">
      <c r="A41" s="1">
        <v>46017</v>
      </c>
      <c r="B41" s="5">
        <f t="shared" si="16"/>
        <v>5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BM41">
        <f t="shared" si="3"/>
        <v>464</v>
      </c>
      <c r="BN41">
        <f t="shared" si="7"/>
        <v>454</v>
      </c>
      <c r="BO41" s="4">
        <f t="shared" si="8"/>
        <v>7.5666666666666664</v>
      </c>
      <c r="BP41" s="8">
        <f t="shared" si="4"/>
        <v>10</v>
      </c>
      <c r="BQ41" s="9">
        <f t="shared" si="9"/>
        <v>0.97844827586206895</v>
      </c>
      <c r="BR41">
        <f t="shared" si="10"/>
        <v>0</v>
      </c>
      <c r="BT41" t="s">
        <v>30</v>
      </c>
      <c r="BU41">
        <v>10</v>
      </c>
      <c r="BW41" s="7">
        <v>0.97222222222222221</v>
      </c>
      <c r="BX41" s="7">
        <v>0.97222222222222221</v>
      </c>
      <c r="BY41">
        <v>10</v>
      </c>
      <c r="BZ41">
        <v>0</v>
      </c>
      <c r="CA41">
        <v>0</v>
      </c>
      <c r="CB41" s="7">
        <v>0.29444444444444445</v>
      </c>
      <c r="CC41" s="7">
        <v>0.29444444444444445</v>
      </c>
    </row>
    <row r="42" spans="1:82" x14ac:dyDescent="0.25">
      <c r="A42" s="1">
        <v>46018</v>
      </c>
      <c r="B42" s="5">
        <f t="shared" ref="B42:B49" si="17">WEEKDAY(A42-1)</f>
        <v>6</v>
      </c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3"/>
      <c r="AM42" s="3"/>
      <c r="BM42">
        <f t="shared" si="3"/>
        <v>430</v>
      </c>
      <c r="BN42">
        <f t="shared" si="7"/>
        <v>325</v>
      </c>
      <c r="BO42" s="4">
        <f t="shared" si="8"/>
        <v>5.416666666666667</v>
      </c>
      <c r="BP42" s="8">
        <f t="shared" si="4"/>
        <v>40</v>
      </c>
      <c r="BQ42" s="9">
        <f t="shared" si="9"/>
        <v>0.7558139534883721</v>
      </c>
      <c r="BR42">
        <f t="shared" si="10"/>
        <v>65</v>
      </c>
      <c r="BU42">
        <v>40</v>
      </c>
      <c r="BW42" s="7">
        <v>0.97222222222222221</v>
      </c>
      <c r="BX42" s="7">
        <v>0.97222222222222221</v>
      </c>
      <c r="BY42">
        <v>40</v>
      </c>
      <c r="BZ42">
        <v>0</v>
      </c>
      <c r="CA42">
        <v>0</v>
      </c>
      <c r="CB42" s="7">
        <v>0.22569444444444445</v>
      </c>
      <c r="CC42" s="7">
        <v>0.27083333333333331</v>
      </c>
    </row>
    <row r="43" spans="1:82" x14ac:dyDescent="0.25">
      <c r="A43" s="1">
        <v>46019</v>
      </c>
      <c r="B43" s="5">
        <f t="shared" si="17"/>
        <v>7</v>
      </c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BM43">
        <f t="shared" si="3"/>
        <v>440</v>
      </c>
      <c r="BN43">
        <f t="shared" si="7"/>
        <v>400</v>
      </c>
      <c r="BO43" s="4">
        <f t="shared" si="8"/>
        <v>6.666666666666667</v>
      </c>
      <c r="BP43" s="8">
        <f t="shared" si="4"/>
        <v>40</v>
      </c>
      <c r="BQ43" s="9">
        <f t="shared" si="9"/>
        <v>0.90909090909090906</v>
      </c>
      <c r="BR43">
        <f t="shared" si="10"/>
        <v>0</v>
      </c>
      <c r="BT43" t="s">
        <v>31</v>
      </c>
      <c r="BU43">
        <v>40</v>
      </c>
      <c r="BW43" s="7">
        <v>0.97222222222222221</v>
      </c>
      <c r="BX43" s="7">
        <v>0.97222222222222221</v>
      </c>
      <c r="BY43">
        <v>40</v>
      </c>
      <c r="BZ43">
        <v>0</v>
      </c>
      <c r="CA43">
        <v>0</v>
      </c>
      <c r="CB43" s="7">
        <v>0.27777777777777779</v>
      </c>
      <c r="CC43" s="7">
        <v>0.27777777777777779</v>
      </c>
    </row>
    <row r="44" spans="1:82" x14ac:dyDescent="0.25">
      <c r="A44" s="1">
        <v>46020</v>
      </c>
      <c r="B44" s="5">
        <f t="shared" si="17"/>
        <v>1</v>
      </c>
      <c r="AA44" s="3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BM44">
        <f t="shared" si="3"/>
        <v>330</v>
      </c>
      <c r="BN44">
        <f t="shared" si="7"/>
        <v>295</v>
      </c>
      <c r="BO44" s="4">
        <f t="shared" si="8"/>
        <v>4.916666666666667</v>
      </c>
      <c r="BP44" s="8">
        <f t="shared" si="4"/>
        <v>30</v>
      </c>
      <c r="BQ44" s="9">
        <f t="shared" si="9"/>
        <v>0.89393939393939392</v>
      </c>
      <c r="BR44">
        <f t="shared" si="10"/>
        <v>5</v>
      </c>
      <c r="BU44">
        <v>30</v>
      </c>
      <c r="BW44" s="7">
        <v>1.0138888888888888</v>
      </c>
      <c r="BX44" s="7">
        <v>1.0138888888888888</v>
      </c>
      <c r="BY44">
        <v>30</v>
      </c>
      <c r="BZ44">
        <v>0</v>
      </c>
      <c r="CA44">
        <v>0</v>
      </c>
      <c r="CB44" s="7">
        <v>0.23958333333333334</v>
      </c>
      <c r="CC44" s="7">
        <v>0.24305555555555558</v>
      </c>
    </row>
    <row r="45" spans="1:82" x14ac:dyDescent="0.25">
      <c r="A45" s="1">
        <v>46021</v>
      </c>
      <c r="B45" s="5">
        <f t="shared" si="17"/>
        <v>2</v>
      </c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BM45">
        <f t="shared" si="3"/>
        <v>420</v>
      </c>
      <c r="BN45">
        <f t="shared" si="7"/>
        <v>410</v>
      </c>
      <c r="BO45" s="4">
        <f t="shared" si="8"/>
        <v>6.833333333333333</v>
      </c>
      <c r="BP45" s="8">
        <f t="shared" si="4"/>
        <v>10</v>
      </c>
      <c r="BQ45" s="9">
        <f t="shared" si="9"/>
        <v>0.97619047619047616</v>
      </c>
      <c r="BR45">
        <f t="shared" si="10"/>
        <v>0</v>
      </c>
      <c r="BU45">
        <v>10</v>
      </c>
      <c r="BW45" s="7">
        <v>0.97916666666666674</v>
      </c>
      <c r="BX45" s="7">
        <v>0.97916666666666674</v>
      </c>
      <c r="BY45">
        <v>10</v>
      </c>
      <c r="BZ45">
        <v>0</v>
      </c>
      <c r="CA45">
        <v>0</v>
      </c>
      <c r="CB45" s="7">
        <v>0.27083333333333331</v>
      </c>
      <c r="CC45" s="7">
        <v>0.27083333333333331</v>
      </c>
    </row>
    <row r="46" spans="1:82" x14ac:dyDescent="0.25">
      <c r="A46" s="1">
        <v>46022</v>
      </c>
      <c r="B46" s="5">
        <f t="shared" si="17"/>
        <v>3</v>
      </c>
      <c r="Z46" s="3"/>
      <c r="AA46" s="3"/>
      <c r="AB46" s="3"/>
      <c r="AC46" s="2"/>
      <c r="AD46" s="2"/>
      <c r="AE46" s="2"/>
      <c r="AF46" s="2"/>
      <c r="AG46" s="2"/>
      <c r="AH46" s="2"/>
      <c r="AI46" s="2"/>
      <c r="AJ46" s="2"/>
      <c r="AK46" s="2"/>
      <c r="AL46" s="3"/>
      <c r="AM46" s="3"/>
      <c r="AN46" s="3"/>
      <c r="BM46">
        <f t="shared" si="3"/>
        <v>430</v>
      </c>
      <c r="BN46">
        <f t="shared" si="7"/>
        <v>270</v>
      </c>
      <c r="BO46" s="4">
        <f t="shared" si="8"/>
        <v>4.5</v>
      </c>
      <c r="BP46" s="8">
        <f t="shared" si="4"/>
        <v>80</v>
      </c>
      <c r="BQ46" s="9">
        <f t="shared" si="9"/>
        <v>0.62790697674418605</v>
      </c>
      <c r="BR46">
        <f t="shared" si="10"/>
        <v>80</v>
      </c>
      <c r="BT46" t="s">
        <v>32</v>
      </c>
      <c r="BU46">
        <v>80</v>
      </c>
      <c r="BW46" s="7">
        <v>0.98611111111111116</v>
      </c>
      <c r="BX46" s="7">
        <v>0.98611111111111116</v>
      </c>
      <c r="BY46">
        <v>80</v>
      </c>
      <c r="BZ46">
        <v>0</v>
      </c>
      <c r="CA46">
        <v>0</v>
      </c>
      <c r="CB46" s="7">
        <v>0.22916666666666669</v>
      </c>
      <c r="CC46" s="7">
        <v>0.28472222222222221</v>
      </c>
    </row>
    <row r="47" spans="1:82" ht="12" customHeight="1" x14ac:dyDescent="0.25">
      <c r="A47" s="28" t="s">
        <v>45</v>
      </c>
      <c r="B47" s="2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1"/>
      <c r="BP47" s="12"/>
      <c r="BQ47" s="13"/>
      <c r="BR47" s="10"/>
      <c r="BS47" s="10"/>
      <c r="BT47" s="10"/>
      <c r="BU47" s="10"/>
      <c r="BV47" s="16"/>
      <c r="BW47" s="14"/>
      <c r="BX47" s="14"/>
      <c r="BY47" s="10"/>
      <c r="BZ47" s="10"/>
      <c r="CA47" s="10"/>
      <c r="CB47" s="14"/>
      <c r="CC47" s="14"/>
      <c r="CD47" s="10"/>
    </row>
    <row r="48" spans="1:82" x14ac:dyDescent="0.25">
      <c r="A48" s="1">
        <v>46023</v>
      </c>
      <c r="B48" s="5">
        <f t="shared" si="17"/>
        <v>4</v>
      </c>
      <c r="I48" s="21" t="s">
        <v>33</v>
      </c>
      <c r="J48" s="21"/>
      <c r="K48" s="21"/>
      <c r="L48" s="21"/>
      <c r="M48" s="21"/>
      <c r="N48" s="21"/>
      <c r="O48" s="21"/>
      <c r="P48" s="21"/>
      <c r="Q48" s="21"/>
      <c r="R48" s="21"/>
      <c r="Y48" s="3"/>
      <c r="Z48" s="3"/>
      <c r="AA48" s="3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BM48">
        <f t="shared" si="3"/>
        <v>450</v>
      </c>
      <c r="BN48">
        <f t="shared" si="7"/>
        <v>375</v>
      </c>
      <c r="BO48" s="4">
        <f t="shared" si="8"/>
        <v>6.25</v>
      </c>
      <c r="BP48" s="8">
        <f t="shared" si="4"/>
        <v>65</v>
      </c>
      <c r="BQ48" s="9">
        <f t="shared" si="9"/>
        <v>0.83333333333333337</v>
      </c>
      <c r="BR48">
        <f t="shared" si="10"/>
        <v>10</v>
      </c>
      <c r="BS48">
        <v>4</v>
      </c>
      <c r="BU48">
        <v>35</v>
      </c>
      <c r="BW48" s="7">
        <v>0.97222222222222221</v>
      </c>
      <c r="BX48" s="7">
        <v>0.99305555555555558</v>
      </c>
      <c r="BY48">
        <v>35</v>
      </c>
      <c r="BZ48">
        <v>0</v>
      </c>
      <c r="CA48">
        <v>0</v>
      </c>
      <c r="CB48" s="7">
        <v>0.27777777777777779</v>
      </c>
      <c r="CC48" s="7">
        <v>0.28472222222222221</v>
      </c>
    </row>
    <row r="49" spans="1:82" x14ac:dyDescent="0.25">
      <c r="A49" s="1">
        <v>46024</v>
      </c>
      <c r="B49" s="5">
        <f t="shared" si="17"/>
        <v>5</v>
      </c>
      <c r="AA49" s="3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BM49">
        <f t="shared" si="3"/>
        <v>385</v>
      </c>
      <c r="BN49">
        <f t="shared" si="7"/>
        <v>377</v>
      </c>
      <c r="BO49" s="4">
        <f t="shared" si="8"/>
        <v>6.2833333333333332</v>
      </c>
      <c r="BP49" s="8">
        <f t="shared" si="4"/>
        <v>0</v>
      </c>
      <c r="BQ49" s="9">
        <f t="shared" si="9"/>
        <v>0.97922077922077921</v>
      </c>
      <c r="BR49">
        <f t="shared" si="10"/>
        <v>8</v>
      </c>
      <c r="BS49">
        <v>4</v>
      </c>
      <c r="BU49">
        <v>0</v>
      </c>
      <c r="BW49" s="7">
        <v>1.0208333333333333</v>
      </c>
      <c r="BX49" s="7">
        <v>1.0208333333333333</v>
      </c>
      <c r="BY49">
        <v>0</v>
      </c>
      <c r="BZ49">
        <v>0</v>
      </c>
      <c r="CA49">
        <v>0</v>
      </c>
      <c r="CB49" s="7">
        <v>0.28263888888888888</v>
      </c>
      <c r="CC49" s="7">
        <v>0.28819444444444442</v>
      </c>
    </row>
    <row r="50" spans="1:82" x14ac:dyDescent="0.25">
      <c r="A50" s="1">
        <v>46025</v>
      </c>
      <c r="B50" s="5">
        <f t="shared" ref="B50" si="18">WEEKDAY(A50-1)</f>
        <v>6</v>
      </c>
      <c r="D50" s="20" t="s">
        <v>34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3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BM50">
        <f t="shared" si="3"/>
        <v>570</v>
      </c>
      <c r="BN50">
        <f t="shared" si="7"/>
        <v>562</v>
      </c>
      <c r="BO50" s="4">
        <f t="shared" si="8"/>
        <v>9.3666666666666671</v>
      </c>
      <c r="BP50" s="8">
        <f t="shared" si="4"/>
        <v>5</v>
      </c>
      <c r="BQ50" s="9">
        <f t="shared" si="9"/>
        <v>0.98596491228070171</v>
      </c>
      <c r="BR50">
        <f t="shared" si="10"/>
        <v>3</v>
      </c>
      <c r="BS50">
        <v>4</v>
      </c>
      <c r="BU50">
        <v>0</v>
      </c>
      <c r="BW50" s="7">
        <v>0.9375</v>
      </c>
      <c r="BX50" s="7">
        <v>0.9375</v>
      </c>
      <c r="BY50">
        <v>5</v>
      </c>
      <c r="BZ50">
        <v>0</v>
      </c>
      <c r="CA50">
        <v>0</v>
      </c>
      <c r="CB50" s="7">
        <v>0.33124999999999999</v>
      </c>
      <c r="CC50" s="7">
        <v>0.33333333333333331</v>
      </c>
    </row>
    <row r="51" spans="1:82" x14ac:dyDescent="0.25">
      <c r="A51" s="1">
        <v>46026</v>
      </c>
      <c r="B51" s="5">
        <f t="shared" ref="B51:B56" si="19">WEEKDAY(A51-1)</f>
        <v>7</v>
      </c>
      <c r="D51" s="20" t="s">
        <v>35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3"/>
      <c r="BM51">
        <f t="shared" ref="BM51:BM54" si="20">HOUR(IF(CC51-BW51&gt;0,CC51-BW51,CC51-BW51+24))*60+MINUTE(IF(CC51-BW51&gt;0,CC51-BW51,CC51-BW51+24))</f>
        <v>500</v>
      </c>
      <c r="BN51">
        <f t="shared" ref="BN51:BN54" si="21">HOUR(IF(CB51-BX51&gt;0,CB51-BX51,CB51-BX51+24))*60+MINUTE(IF(CB51-BX51&gt;0,CB51-BX51,CB51-BX51+24))-BY51-BZ51</f>
        <v>465</v>
      </c>
      <c r="BO51" s="4">
        <f t="shared" ref="BO51:BO54" si="22">BN51/60</f>
        <v>7.75</v>
      </c>
      <c r="BP51" s="8">
        <f t="shared" si="4"/>
        <v>5</v>
      </c>
      <c r="BQ51" s="9">
        <f t="shared" ref="BQ51:BQ54" si="23">BN51/BM51</f>
        <v>0.93</v>
      </c>
      <c r="BR51">
        <f t="shared" ref="BR51:BR54" si="24">BZ51+HOUR(CC51-CB51)*60+MINUTE(CC51-CB51)</f>
        <v>30</v>
      </c>
      <c r="BS51">
        <v>4</v>
      </c>
      <c r="BT51" t="s">
        <v>36</v>
      </c>
      <c r="BU51">
        <v>0</v>
      </c>
      <c r="BW51" s="7">
        <v>0.97222222222222221</v>
      </c>
      <c r="BX51" s="7">
        <v>0.97222222222222221</v>
      </c>
      <c r="BY51">
        <v>5</v>
      </c>
      <c r="BZ51">
        <v>20</v>
      </c>
      <c r="CA51">
        <v>2</v>
      </c>
      <c r="CB51" s="7">
        <v>0.3125</v>
      </c>
      <c r="CC51" s="7">
        <v>0.31944444444444442</v>
      </c>
    </row>
    <row r="52" spans="1:82" x14ac:dyDescent="0.25">
      <c r="A52" s="1">
        <v>46027</v>
      </c>
      <c r="B52" s="5">
        <f t="shared" si="19"/>
        <v>1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3"/>
      <c r="AQ52" s="3"/>
      <c r="BM52">
        <f t="shared" si="20"/>
        <v>530</v>
      </c>
      <c r="BN52">
        <f t="shared" si="21"/>
        <v>471</v>
      </c>
      <c r="BO52" s="4">
        <f t="shared" si="22"/>
        <v>7.85</v>
      </c>
      <c r="BP52" s="8">
        <f t="shared" si="4"/>
        <v>5</v>
      </c>
      <c r="BQ52" s="9">
        <f t="shared" si="23"/>
        <v>0.88867924528301889</v>
      </c>
      <c r="BR52">
        <f t="shared" si="24"/>
        <v>54</v>
      </c>
      <c r="BS52">
        <v>4</v>
      </c>
      <c r="BU52">
        <v>0</v>
      </c>
      <c r="BW52" s="7">
        <v>0.96527777777777779</v>
      </c>
      <c r="BX52" s="7">
        <v>0.96527777777777779</v>
      </c>
      <c r="BY52">
        <v>5</v>
      </c>
      <c r="BZ52">
        <v>30</v>
      </c>
      <c r="CA52">
        <v>2</v>
      </c>
      <c r="CB52" s="7">
        <v>0.31666666666666665</v>
      </c>
      <c r="CC52" s="7">
        <v>0.33333333333333331</v>
      </c>
    </row>
    <row r="53" spans="1:82" x14ac:dyDescent="0.25">
      <c r="A53" s="1">
        <v>46028</v>
      </c>
      <c r="B53" s="5">
        <f t="shared" si="19"/>
        <v>2</v>
      </c>
      <c r="Y53" s="3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3"/>
      <c r="BM53">
        <f t="shared" si="20"/>
        <v>522</v>
      </c>
      <c r="BN53">
        <f t="shared" si="21"/>
        <v>486</v>
      </c>
      <c r="BO53" s="4">
        <f t="shared" si="22"/>
        <v>8.1</v>
      </c>
      <c r="BP53" s="8">
        <f t="shared" si="4"/>
        <v>5</v>
      </c>
      <c r="BQ53" s="9">
        <f t="shared" si="23"/>
        <v>0.93103448275862066</v>
      </c>
      <c r="BR53">
        <f t="shared" si="24"/>
        <v>31</v>
      </c>
      <c r="BS53">
        <v>3</v>
      </c>
      <c r="BU53">
        <v>0</v>
      </c>
      <c r="BW53" s="7">
        <v>0.97916666666666663</v>
      </c>
      <c r="BX53" s="7">
        <v>0.97916666666666663</v>
      </c>
      <c r="BY53">
        <v>5</v>
      </c>
      <c r="BZ53">
        <v>6</v>
      </c>
      <c r="CA53">
        <v>1</v>
      </c>
      <c r="CB53" s="7">
        <v>0.32430555555555557</v>
      </c>
      <c r="CC53" s="7">
        <v>0.34166666666666667</v>
      </c>
    </row>
    <row r="54" spans="1:82" x14ac:dyDescent="0.25">
      <c r="A54" s="1">
        <v>46029</v>
      </c>
      <c r="B54" s="5">
        <f t="shared" si="19"/>
        <v>3</v>
      </c>
      <c r="Y54" s="3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BM54">
        <f t="shared" si="20"/>
        <v>490</v>
      </c>
      <c r="BN54">
        <f t="shared" si="21"/>
        <v>467</v>
      </c>
      <c r="BO54" s="4">
        <f t="shared" si="22"/>
        <v>7.7833333333333332</v>
      </c>
      <c r="BP54" s="8">
        <f t="shared" si="4"/>
        <v>15</v>
      </c>
      <c r="BQ54" s="9">
        <f t="shared" si="23"/>
        <v>0.95306122448979591</v>
      </c>
      <c r="BR54">
        <f t="shared" si="24"/>
        <v>8</v>
      </c>
      <c r="BS54">
        <v>4</v>
      </c>
      <c r="BU54">
        <v>0</v>
      </c>
      <c r="BW54" s="7">
        <v>0.97222222222222221</v>
      </c>
      <c r="BX54" s="7">
        <v>0.97916666666666663</v>
      </c>
      <c r="BY54">
        <v>5</v>
      </c>
      <c r="BZ54">
        <v>0</v>
      </c>
      <c r="CA54">
        <v>0</v>
      </c>
      <c r="CB54" s="7">
        <v>0.30694444444444446</v>
      </c>
      <c r="CC54" s="7">
        <v>0.3125</v>
      </c>
    </row>
    <row r="55" spans="1:82" ht="12" customHeight="1" x14ac:dyDescent="0.25">
      <c r="A55" s="28" t="s">
        <v>46</v>
      </c>
      <c r="B55" s="28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1"/>
      <c r="BP55" s="12"/>
      <c r="BQ55" s="13"/>
      <c r="BR55" s="10"/>
      <c r="BS55" s="10"/>
      <c r="BT55" s="10"/>
      <c r="BU55" s="10"/>
      <c r="BV55" s="16"/>
      <c r="BW55" s="14"/>
      <c r="BX55" s="14"/>
      <c r="BY55" s="10"/>
      <c r="BZ55" s="10"/>
      <c r="CA55" s="10"/>
      <c r="CB55" s="14"/>
      <c r="CC55" s="14"/>
      <c r="CD55" s="10"/>
    </row>
    <row r="56" spans="1:82" x14ac:dyDescent="0.25">
      <c r="A56" s="1">
        <v>46030</v>
      </c>
      <c r="B56" s="5">
        <f t="shared" si="19"/>
        <v>4</v>
      </c>
      <c r="X56" s="3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BM56">
        <f t="shared" si="3"/>
        <v>488</v>
      </c>
      <c r="BN56">
        <f t="shared" si="7"/>
        <v>451</v>
      </c>
      <c r="BO56" s="4">
        <f t="shared" si="8"/>
        <v>7.5166666666666666</v>
      </c>
      <c r="BP56" s="8">
        <f t="shared" si="4"/>
        <v>15</v>
      </c>
      <c r="BQ56" s="9">
        <f t="shared" si="9"/>
        <v>0.92418032786885251</v>
      </c>
      <c r="BR56">
        <f t="shared" si="10"/>
        <v>22</v>
      </c>
      <c r="BS56">
        <v>4</v>
      </c>
      <c r="BU56">
        <v>0</v>
      </c>
      <c r="BW56" s="7">
        <v>0.95277777777777772</v>
      </c>
      <c r="BX56" s="7">
        <v>0.95277777777777772</v>
      </c>
      <c r="BY56">
        <v>15</v>
      </c>
      <c r="BZ56">
        <v>0</v>
      </c>
      <c r="CA56">
        <v>0</v>
      </c>
      <c r="CB56" s="7">
        <v>0.27638888888888891</v>
      </c>
      <c r="CC56" s="7">
        <v>0.29166666666666669</v>
      </c>
    </row>
    <row r="57" spans="1:82" x14ac:dyDescent="0.25">
      <c r="A57" s="1">
        <v>46031</v>
      </c>
      <c r="B57" s="5">
        <f t="shared" ref="B57" si="25">WEEKDAY(A57-1)</f>
        <v>5</v>
      </c>
      <c r="D57" s="20" t="s">
        <v>38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BM57">
        <f t="shared" si="3"/>
        <v>522</v>
      </c>
      <c r="BN57">
        <f t="shared" si="7"/>
        <v>472</v>
      </c>
      <c r="BO57" s="4">
        <f t="shared" si="8"/>
        <v>7.8666666666666663</v>
      </c>
      <c r="BP57" s="8">
        <f t="shared" si="4"/>
        <v>20</v>
      </c>
      <c r="BQ57" s="9">
        <f t="shared" si="9"/>
        <v>0.90421455938697315</v>
      </c>
      <c r="BR57">
        <f t="shared" si="10"/>
        <v>30</v>
      </c>
      <c r="BS57">
        <v>3</v>
      </c>
      <c r="BU57">
        <v>0</v>
      </c>
      <c r="BW57" s="7">
        <v>0.95833333333333337</v>
      </c>
      <c r="BX57" s="7">
        <v>0.97222222222222221</v>
      </c>
      <c r="BY57">
        <v>0</v>
      </c>
      <c r="BZ57">
        <v>30</v>
      </c>
      <c r="CA57">
        <v>2</v>
      </c>
      <c r="CB57" s="7">
        <v>0.32083333333333336</v>
      </c>
      <c r="CC57" s="7">
        <v>0.32083333333333336</v>
      </c>
    </row>
    <row r="58" spans="1:82" x14ac:dyDescent="0.25">
      <c r="A58" s="1">
        <v>46032</v>
      </c>
      <c r="B58" s="5">
        <f t="shared" ref="B58:B63" si="26">WEEKDAY(A58-1)</f>
        <v>6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3"/>
      <c r="BM58">
        <f t="shared" si="3"/>
        <v>520</v>
      </c>
      <c r="BN58">
        <f t="shared" si="7"/>
        <v>505</v>
      </c>
      <c r="BO58" s="4">
        <f t="shared" si="8"/>
        <v>8.4166666666666661</v>
      </c>
      <c r="BP58" s="8">
        <f t="shared" si="4"/>
        <v>0</v>
      </c>
      <c r="BQ58" s="9">
        <f t="shared" si="9"/>
        <v>0.97115384615384615</v>
      </c>
      <c r="BR58">
        <f t="shared" si="10"/>
        <v>15</v>
      </c>
      <c r="BS58">
        <v>4</v>
      </c>
      <c r="BU58">
        <v>0</v>
      </c>
      <c r="BW58" s="7">
        <v>0.95833333333333337</v>
      </c>
      <c r="BX58" s="7">
        <v>0.95833333333333337</v>
      </c>
      <c r="BY58">
        <v>0</v>
      </c>
      <c r="BZ58">
        <v>5</v>
      </c>
      <c r="CA58">
        <v>1</v>
      </c>
      <c r="CB58" s="7">
        <v>0.3125</v>
      </c>
      <c r="CC58" s="7">
        <v>0.31944444444444442</v>
      </c>
    </row>
    <row r="59" spans="1:82" x14ac:dyDescent="0.25">
      <c r="A59" s="1">
        <v>46033</v>
      </c>
      <c r="B59" s="5">
        <f t="shared" si="26"/>
        <v>7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BM59">
        <f t="shared" si="3"/>
        <v>690</v>
      </c>
      <c r="BN59">
        <f t="shared" si="7"/>
        <v>651</v>
      </c>
      <c r="BO59" s="4">
        <f t="shared" si="8"/>
        <v>10.85</v>
      </c>
      <c r="BP59" s="8">
        <f t="shared" si="4"/>
        <v>0</v>
      </c>
      <c r="BQ59" s="9">
        <f t="shared" si="9"/>
        <v>0.94347826086956521</v>
      </c>
      <c r="BR59">
        <f t="shared" si="10"/>
        <v>39</v>
      </c>
      <c r="BS59">
        <v>3</v>
      </c>
      <c r="BU59">
        <v>0</v>
      </c>
      <c r="BW59" s="7">
        <v>0.89583333333333337</v>
      </c>
      <c r="BX59" s="7">
        <v>0.89583333333333337</v>
      </c>
      <c r="BY59">
        <v>0</v>
      </c>
      <c r="BZ59">
        <v>30</v>
      </c>
      <c r="CA59">
        <v>3</v>
      </c>
      <c r="CB59" s="7">
        <v>0.36875000000000002</v>
      </c>
      <c r="CC59" s="7">
        <v>0.375</v>
      </c>
    </row>
    <row r="60" spans="1:82" x14ac:dyDescent="0.25">
      <c r="A60" s="1">
        <v>46034</v>
      </c>
      <c r="B60" s="5">
        <f t="shared" si="26"/>
        <v>1</v>
      </c>
      <c r="D60" s="20" t="s">
        <v>39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BM60">
        <f t="shared" si="3"/>
        <v>530</v>
      </c>
      <c r="BN60">
        <f t="shared" si="7"/>
        <v>511</v>
      </c>
      <c r="BO60" s="4">
        <f t="shared" si="8"/>
        <v>8.5166666666666675</v>
      </c>
      <c r="BP60" s="8">
        <f t="shared" si="4"/>
        <v>5</v>
      </c>
      <c r="BQ60" s="9">
        <f t="shared" si="9"/>
        <v>0.96415094339622642</v>
      </c>
      <c r="BR60">
        <f t="shared" si="10"/>
        <v>14</v>
      </c>
      <c r="BS60">
        <v>4</v>
      </c>
      <c r="BU60">
        <v>0</v>
      </c>
      <c r="BW60" s="7">
        <v>0.96527777777777779</v>
      </c>
      <c r="BX60" s="7">
        <v>0.96527777777777779</v>
      </c>
      <c r="BY60">
        <v>5</v>
      </c>
      <c r="BZ60">
        <v>5</v>
      </c>
      <c r="CA60">
        <v>1</v>
      </c>
      <c r="CB60" s="7">
        <v>0.32708333333333334</v>
      </c>
      <c r="CC60" s="7">
        <v>0.33333333333333331</v>
      </c>
    </row>
    <row r="61" spans="1:82" x14ac:dyDescent="0.25">
      <c r="A61" s="1">
        <v>46035</v>
      </c>
      <c r="B61" s="5">
        <f t="shared" si="26"/>
        <v>2</v>
      </c>
      <c r="X61" s="3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BM61">
        <f t="shared" si="3"/>
        <v>544</v>
      </c>
      <c r="BN61">
        <f t="shared" si="7"/>
        <v>494</v>
      </c>
      <c r="BO61" s="4">
        <f t="shared" si="8"/>
        <v>8.2333333333333325</v>
      </c>
      <c r="BP61" s="8">
        <f t="shared" si="4"/>
        <v>20</v>
      </c>
      <c r="BQ61" s="9">
        <f t="shared" si="9"/>
        <v>0.90808823529411764</v>
      </c>
      <c r="BR61">
        <f t="shared" si="10"/>
        <v>30</v>
      </c>
      <c r="BS61">
        <v>2</v>
      </c>
      <c r="BU61">
        <v>20</v>
      </c>
      <c r="BW61" s="7">
        <v>0.9555555555555556</v>
      </c>
      <c r="BX61" s="7">
        <v>0.9555555555555556</v>
      </c>
      <c r="BY61">
        <v>20</v>
      </c>
      <c r="BZ61">
        <v>10</v>
      </c>
      <c r="CA61">
        <v>1</v>
      </c>
      <c r="CB61" s="7">
        <v>0.31944444444444442</v>
      </c>
      <c r="CC61" s="7">
        <v>0.33333333333333331</v>
      </c>
    </row>
    <row r="62" spans="1:82" x14ac:dyDescent="0.25">
      <c r="A62" s="1">
        <v>46036</v>
      </c>
      <c r="B62" s="5">
        <f t="shared" si="26"/>
        <v>3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BM62">
        <f t="shared" ref="BM62:BM67" si="27">HOUR(IF(CC62-BW62&gt;0,CC62-BW62,CC62-BW62+24))*60+MINUTE(IF(CC62-BW62&gt;0,CC62-BW62,CC62-BW62+24))</f>
        <v>380</v>
      </c>
      <c r="BN62">
        <f t="shared" ref="BN62:BN67" si="28">HOUR(IF(CB62-BX62&gt;0,CB62-BX62,CB62-BX62+24))*60+MINUTE(IF(CB62-BX62&gt;0,CB62-BX62,CB62-BX62+24))-BY62-BZ62</f>
        <v>375</v>
      </c>
      <c r="BO62" s="4">
        <f t="shared" ref="BO62:BO67" si="29">BN62/60</f>
        <v>6.25</v>
      </c>
      <c r="BP62" s="8">
        <f t="shared" ref="BP62:BP67" si="30">IF((BX62-BW62)&gt;=0,(HOUR(BX62-BW62)*60+MINUTE(BX62-BW62)),1440-(HOUR(BW62-BX62)*60+MINUTE(BW62-BX62)))+BY62</f>
        <v>0</v>
      </c>
      <c r="BQ62" s="9">
        <f t="shared" ref="BQ62:BQ67" si="31">BN62/BM62</f>
        <v>0.98684210526315785</v>
      </c>
      <c r="BR62">
        <f t="shared" ref="BR62:BR67" si="32">BZ62+HOUR(CC62-CB62)*60+MINUTE(CC62-CB62)</f>
        <v>5</v>
      </c>
      <c r="BS62">
        <v>4</v>
      </c>
      <c r="BU62">
        <v>20</v>
      </c>
      <c r="BW62" s="7">
        <v>1</v>
      </c>
      <c r="BX62" s="7">
        <v>1</v>
      </c>
      <c r="BY62">
        <v>0</v>
      </c>
      <c r="BZ62">
        <v>5</v>
      </c>
      <c r="CA62">
        <v>1</v>
      </c>
      <c r="CB62" s="7">
        <v>0.2638888888888889</v>
      </c>
      <c r="CC62" s="7">
        <v>0.2638888888888889</v>
      </c>
    </row>
    <row r="63" spans="1:82" x14ac:dyDescent="0.25">
      <c r="A63" s="1">
        <v>46037</v>
      </c>
      <c r="B63" s="5">
        <f t="shared" si="26"/>
        <v>4</v>
      </c>
      <c r="Y63" s="3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BM63">
        <f t="shared" si="27"/>
        <v>460</v>
      </c>
      <c r="BN63">
        <f t="shared" si="28"/>
        <v>415</v>
      </c>
      <c r="BO63" s="4">
        <f t="shared" si="29"/>
        <v>6.916666666666667</v>
      </c>
      <c r="BP63" s="8">
        <f t="shared" si="30"/>
        <v>40</v>
      </c>
      <c r="BQ63" s="9">
        <f t="shared" si="31"/>
        <v>0.90217391304347827</v>
      </c>
      <c r="BR63">
        <f t="shared" si="32"/>
        <v>5</v>
      </c>
      <c r="BS63">
        <v>4</v>
      </c>
      <c r="BU63">
        <v>40</v>
      </c>
      <c r="BW63" s="7">
        <v>0.95833333333333337</v>
      </c>
      <c r="BX63" s="7">
        <v>0.95833333333333337</v>
      </c>
      <c r="BY63">
        <v>40</v>
      </c>
      <c r="BZ63">
        <v>5</v>
      </c>
      <c r="CA63">
        <v>1</v>
      </c>
      <c r="CB63" s="7">
        <v>0.27777777777777779</v>
      </c>
      <c r="CC63" s="7">
        <v>0.27777777777777779</v>
      </c>
    </row>
    <row r="64" spans="1:82" x14ac:dyDescent="0.25">
      <c r="A64" s="1">
        <v>46038</v>
      </c>
      <c r="B64" s="5">
        <f t="shared" ref="B64:B69" si="33">WEEKDAY(A64-1)</f>
        <v>5</v>
      </c>
      <c r="S64" s="3"/>
      <c r="T64" s="3"/>
      <c r="U64" s="3"/>
      <c r="V64" s="3"/>
      <c r="W64" s="3"/>
      <c r="X64" s="3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BM64">
        <f t="shared" si="27"/>
        <v>640</v>
      </c>
      <c r="BN64">
        <f t="shared" si="28"/>
        <v>430</v>
      </c>
      <c r="BO64" s="4">
        <f t="shared" si="29"/>
        <v>7.166666666666667</v>
      </c>
      <c r="BP64" s="8">
        <f t="shared" si="30"/>
        <v>180</v>
      </c>
      <c r="BQ64" s="9">
        <f t="shared" si="31"/>
        <v>0.671875</v>
      </c>
      <c r="BR64">
        <f t="shared" si="32"/>
        <v>30</v>
      </c>
      <c r="BS64">
        <v>2</v>
      </c>
      <c r="BT64" t="s">
        <v>40</v>
      </c>
      <c r="BU64">
        <v>30</v>
      </c>
      <c r="BW64" s="7">
        <v>0.83333333333333337</v>
      </c>
      <c r="BX64" s="7">
        <v>0.95833333333333337</v>
      </c>
      <c r="BY64">
        <v>0</v>
      </c>
      <c r="BZ64">
        <v>30</v>
      </c>
      <c r="CA64">
        <v>1</v>
      </c>
      <c r="CB64" s="7">
        <v>0.27777777777777779</v>
      </c>
      <c r="CC64" s="7">
        <v>0.27777777777777779</v>
      </c>
    </row>
    <row r="65" spans="1:82" x14ac:dyDescent="0.25">
      <c r="A65" s="1">
        <v>46039</v>
      </c>
      <c r="B65" s="5">
        <f t="shared" si="33"/>
        <v>6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BM65">
        <f t="shared" si="27"/>
        <v>430</v>
      </c>
      <c r="BN65">
        <f t="shared" si="28"/>
        <v>420</v>
      </c>
      <c r="BO65" s="4">
        <f t="shared" si="29"/>
        <v>7</v>
      </c>
      <c r="BP65" s="8">
        <f t="shared" si="30"/>
        <v>10</v>
      </c>
      <c r="BQ65" s="9">
        <f t="shared" si="31"/>
        <v>0.97674418604651159</v>
      </c>
      <c r="BR65">
        <f t="shared" si="32"/>
        <v>0</v>
      </c>
      <c r="BS65">
        <v>3</v>
      </c>
      <c r="BT65" t="s">
        <v>26</v>
      </c>
      <c r="BU65">
        <v>10</v>
      </c>
      <c r="BW65" s="7">
        <v>0.97222222222222221</v>
      </c>
      <c r="BX65" s="7">
        <v>0.97222222222222221</v>
      </c>
      <c r="BY65">
        <v>10</v>
      </c>
      <c r="BZ65">
        <v>0</v>
      </c>
      <c r="CA65">
        <v>0</v>
      </c>
      <c r="CB65" s="7">
        <v>0.27083333333333331</v>
      </c>
      <c r="CC65" s="7">
        <v>0.27083333333333331</v>
      </c>
    </row>
    <row r="66" spans="1:82" x14ac:dyDescent="0.25">
      <c r="A66" s="1">
        <v>46040</v>
      </c>
      <c r="B66" s="5">
        <f t="shared" si="33"/>
        <v>7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BM66">
        <f t="shared" si="27"/>
        <v>480</v>
      </c>
      <c r="BN66">
        <f t="shared" si="28"/>
        <v>445</v>
      </c>
      <c r="BO66" s="4">
        <f t="shared" si="29"/>
        <v>7.416666666666667</v>
      </c>
      <c r="BP66" s="8">
        <f t="shared" si="30"/>
        <v>10</v>
      </c>
      <c r="BQ66" s="9">
        <f t="shared" si="31"/>
        <v>0.92708333333333337</v>
      </c>
      <c r="BR66">
        <f t="shared" si="32"/>
        <v>25</v>
      </c>
      <c r="BS66">
        <v>4</v>
      </c>
      <c r="BU66">
        <v>40</v>
      </c>
      <c r="BW66" s="7">
        <v>0.95833333333333337</v>
      </c>
      <c r="BX66" s="7">
        <v>0.95833333333333337</v>
      </c>
      <c r="BY66">
        <v>10</v>
      </c>
      <c r="BZ66">
        <v>5</v>
      </c>
      <c r="CA66">
        <v>1</v>
      </c>
      <c r="CB66" s="7">
        <v>0.27777777777777779</v>
      </c>
      <c r="CC66" s="7">
        <v>0.29166666666666669</v>
      </c>
    </row>
    <row r="67" spans="1:82" x14ac:dyDescent="0.25">
      <c r="A67" s="1">
        <v>46041</v>
      </c>
      <c r="B67" s="5">
        <f t="shared" si="33"/>
        <v>1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BM67">
        <f t="shared" si="27"/>
        <v>570</v>
      </c>
      <c r="BN67">
        <f t="shared" si="28"/>
        <v>530</v>
      </c>
      <c r="BO67" s="4">
        <f t="shared" si="29"/>
        <v>8.8333333333333339</v>
      </c>
      <c r="BP67" s="8">
        <f t="shared" si="30"/>
        <v>10</v>
      </c>
      <c r="BQ67" s="9">
        <f t="shared" si="31"/>
        <v>0.92982456140350878</v>
      </c>
      <c r="BR67">
        <f t="shared" si="32"/>
        <v>30</v>
      </c>
      <c r="BS67">
        <v>4</v>
      </c>
      <c r="BU67">
        <v>10</v>
      </c>
      <c r="BW67" s="7">
        <v>0.95833333333333337</v>
      </c>
      <c r="BX67" s="7">
        <v>0.95833333333333337</v>
      </c>
      <c r="BY67">
        <v>10</v>
      </c>
      <c r="BZ67">
        <v>30</v>
      </c>
      <c r="CA67">
        <v>1</v>
      </c>
      <c r="CB67" s="7">
        <v>0.35416666666666669</v>
      </c>
      <c r="CC67" s="7">
        <v>0.35416666666666669</v>
      </c>
    </row>
    <row r="68" spans="1:82" x14ac:dyDescent="0.25">
      <c r="A68" s="1">
        <v>46042</v>
      </c>
      <c r="B68" s="5">
        <f t="shared" si="33"/>
        <v>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BM68">
        <f t="shared" si="3"/>
        <v>435</v>
      </c>
      <c r="BN68">
        <f t="shared" si="7"/>
        <v>430</v>
      </c>
      <c r="BO68" s="4">
        <f t="shared" si="8"/>
        <v>7.166666666666667</v>
      </c>
      <c r="BP68" s="8">
        <f t="shared" si="4"/>
        <v>0</v>
      </c>
      <c r="BQ68" s="9">
        <f t="shared" si="9"/>
        <v>0.9885057471264368</v>
      </c>
      <c r="BR68">
        <f t="shared" si="10"/>
        <v>5</v>
      </c>
      <c r="BS68">
        <v>4</v>
      </c>
      <c r="BU68">
        <v>0</v>
      </c>
      <c r="BW68" s="7">
        <v>0.98611111111111116</v>
      </c>
      <c r="BX68" s="7">
        <v>0.98611111111111116</v>
      </c>
      <c r="BY68">
        <v>0</v>
      </c>
      <c r="BZ68">
        <v>0</v>
      </c>
      <c r="CA68">
        <v>0</v>
      </c>
      <c r="CB68" s="7">
        <v>0.28472222222222221</v>
      </c>
      <c r="CC68" s="7">
        <v>0.28819444444444442</v>
      </c>
    </row>
    <row r="69" spans="1:82" x14ac:dyDescent="0.25">
      <c r="A69" s="1">
        <v>46043</v>
      </c>
      <c r="B69" s="5">
        <f t="shared" si="33"/>
        <v>3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3"/>
      <c r="BM69">
        <f t="shared" si="3"/>
        <v>580</v>
      </c>
      <c r="BN69">
        <f t="shared" si="7"/>
        <v>555</v>
      </c>
      <c r="BO69" s="4">
        <f t="shared" si="8"/>
        <v>9.25</v>
      </c>
      <c r="BP69" s="8">
        <f t="shared" ref="BP69" si="34">IF((BX69-BW69)&gt;=0,(HOUR(BX69-BW69)*60+MINUTE(BX69-BW69)),1440-(HOUR(BW69-BX69)*60+MINUTE(BW69-BX69)))+BY69</f>
        <v>0</v>
      </c>
      <c r="BQ69" s="9">
        <f t="shared" si="9"/>
        <v>0.9568965517241379</v>
      </c>
      <c r="BR69">
        <f t="shared" si="10"/>
        <v>25</v>
      </c>
      <c r="BS69">
        <v>4</v>
      </c>
      <c r="BU69">
        <v>0</v>
      </c>
      <c r="BW69" s="7">
        <v>0.91666666666666663</v>
      </c>
      <c r="BX69" s="7">
        <v>0.91666666666666663</v>
      </c>
      <c r="BY69">
        <v>0</v>
      </c>
      <c r="BZ69">
        <v>5</v>
      </c>
      <c r="CA69">
        <v>1</v>
      </c>
      <c r="CB69" s="7">
        <v>0.30555555555555558</v>
      </c>
      <c r="CC69" s="7">
        <v>0.31944444444444442</v>
      </c>
    </row>
    <row r="70" spans="1:82" ht="12" customHeight="1" x14ac:dyDescent="0.25">
      <c r="A70" s="28" t="s">
        <v>47</v>
      </c>
      <c r="B70" s="28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1"/>
      <c r="BP70" s="12"/>
      <c r="BQ70" s="13"/>
      <c r="BR70" s="10"/>
      <c r="BS70" s="10"/>
      <c r="BT70" s="10"/>
      <c r="BU70" s="10"/>
      <c r="BV70" s="16"/>
      <c r="BW70" s="14"/>
      <c r="BX70" s="14"/>
      <c r="BY70" s="10"/>
      <c r="BZ70" s="10"/>
      <c r="CA70" s="10"/>
      <c r="CB70" s="14"/>
      <c r="CC70" s="14"/>
      <c r="CD70" s="10"/>
    </row>
  </sheetData>
  <mergeCells count="71">
    <mergeCell ref="A55:B55"/>
    <mergeCell ref="A70:B70"/>
    <mergeCell ref="A3:B3"/>
    <mergeCell ref="A10:B10"/>
    <mergeCell ref="A24:B24"/>
    <mergeCell ref="A32:B32"/>
    <mergeCell ref="A47:B47"/>
    <mergeCell ref="A1:A2"/>
    <mergeCell ref="C17:V17"/>
    <mergeCell ref="AE21:AL21"/>
    <mergeCell ref="AE17:AL17"/>
    <mergeCell ref="AC2:AD2"/>
    <mergeCell ref="M2:N2"/>
    <mergeCell ref="O2:P2"/>
    <mergeCell ref="Q2:R2"/>
    <mergeCell ref="AA2:AB2"/>
    <mergeCell ref="C2:D2"/>
    <mergeCell ref="E2:F2"/>
    <mergeCell ref="U2:V2"/>
    <mergeCell ref="W2:X2"/>
    <mergeCell ref="Y2:Z2"/>
    <mergeCell ref="S2:T2"/>
    <mergeCell ref="CD1:CD2"/>
    <mergeCell ref="C1:Z1"/>
    <mergeCell ref="AA1:BL1"/>
    <mergeCell ref="BO1:BO2"/>
    <mergeCell ref="AQ2:AR2"/>
    <mergeCell ref="AS2:AT2"/>
    <mergeCell ref="AU2:AV2"/>
    <mergeCell ref="AW2:AX2"/>
    <mergeCell ref="AE2:AF2"/>
    <mergeCell ref="AG2:AH2"/>
    <mergeCell ref="AI2:AJ2"/>
    <mergeCell ref="AK2:AL2"/>
    <mergeCell ref="G2:H2"/>
    <mergeCell ref="I2:J2"/>
    <mergeCell ref="K2:L2"/>
    <mergeCell ref="AM2:AN2"/>
    <mergeCell ref="BZ1:BZ2"/>
    <mergeCell ref="CA1:CA2"/>
    <mergeCell ref="AO2:AP2"/>
    <mergeCell ref="BI2:BJ2"/>
    <mergeCell ref="BK2:BL2"/>
    <mergeCell ref="BG2:BH2"/>
    <mergeCell ref="BS1:BS2"/>
    <mergeCell ref="AY2:AZ2"/>
    <mergeCell ref="BA2:BB2"/>
    <mergeCell ref="BC2:BD2"/>
    <mergeCell ref="BE2:BF2"/>
    <mergeCell ref="AE39:AL39"/>
    <mergeCell ref="AE28:AL28"/>
    <mergeCell ref="AE29:AL29"/>
    <mergeCell ref="CC1:CC2"/>
    <mergeCell ref="CB1:CB2"/>
    <mergeCell ref="BM1:BM2"/>
    <mergeCell ref="BY1:BY2"/>
    <mergeCell ref="BT1:BT2"/>
    <mergeCell ref="BN1:BN2"/>
    <mergeCell ref="BU1:BU2"/>
    <mergeCell ref="BP1:BP2"/>
    <mergeCell ref="BQ1:BQ2"/>
    <mergeCell ref="BR1:BR2"/>
    <mergeCell ref="BW1:BW2"/>
    <mergeCell ref="BX1:BX2"/>
    <mergeCell ref="BV1:BV2"/>
    <mergeCell ref="D60:W60"/>
    <mergeCell ref="I48:R48"/>
    <mergeCell ref="D50:W50"/>
    <mergeCell ref="D51:W51"/>
    <mergeCell ref="C35:V35"/>
    <mergeCell ref="D57:W57"/>
  </mergeCells>
  <phoneticPr fontId="2" type="noConversion"/>
  <conditionalFormatting sqref="B4:B9 B11:B23 B25:B31 B33:B46 B48:B54 B56:B69"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4:BO9 BO11:BO23 BO25:BO31 BO33:BO46 BO48:BO54 BO56:BO69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{C9F49BD0-C19E-4AAF-8031-44DDCC985D81}</x14:id>
        </ext>
      </extLst>
    </cfRule>
  </conditionalFormatting>
  <conditionalFormatting sqref="BQ4:BQ9">
    <cfRule type="cellIs" dxfId="4" priority="55" operator="lessThan">
      <formula>0.7</formula>
    </cfRule>
    <cfRule type="cellIs" dxfId="3" priority="56" operator="lessThan">
      <formula>0.85</formula>
    </cfRule>
  </conditionalFormatting>
  <conditionalFormatting sqref="BQ11:BQ23 BQ25:BQ31 BQ33:BQ46 BQ48:BQ54 BQ56:BQ69">
    <cfRule type="cellIs" dxfId="2" priority="2" operator="lessThan">
      <formula>0.7</formula>
    </cfRule>
    <cfRule type="cellIs" dxfId="1" priority="3" operator="lessThan">
      <formula>0.85</formula>
    </cfRule>
  </conditionalFormatting>
  <conditionalFormatting sqref="BR3:BS47 BP3:BP70 BR48:BR54 BS49:BS54 BR55:BS70">
    <cfRule type="cellIs" dxfId="0" priority="59" operator="greaterThan">
      <formula>30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9" scale="46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F49BD0-C19E-4AAF-8031-44DDCC985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BO4:BO9 BO11:BO23 BO25:BO31 BO33:BO46 BO48:BO54 BO56:BO69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张旭</dc:creator>
  <cp:lastModifiedBy>张旭</cp:lastModifiedBy>
  <cp:lastPrinted>2026-02-05T13:29:02Z</cp:lastPrinted>
  <dcterms:created xsi:type="dcterms:W3CDTF">2025-04-24T14:51:20Z</dcterms:created>
  <dcterms:modified xsi:type="dcterms:W3CDTF">2026-04-06T10:15:09Z</dcterms:modified>
</cp:coreProperties>
</file>